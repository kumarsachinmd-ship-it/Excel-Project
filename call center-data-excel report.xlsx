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achin\Downloads\"/>
    </mc:Choice>
  </mc:AlternateContent>
  <xr:revisionPtr revIDLastSave="0" documentId="8_{9461B83E-56F9-44E7-A8CE-C6EDBCD06FFD}" xr6:coauthVersionLast="47" xr6:coauthVersionMax="47" xr10:uidLastSave="{00000000-0000-0000-0000-000000000000}"/>
  <bookViews>
    <workbookView xWindow="-110" yWindow="-110" windowWidth="19420" windowHeight="10300" activeTab="2" xr2:uid="{26D4546B-D2A1-4444-8EAF-A6228F96F0C1}"/>
  </bookViews>
  <sheets>
    <sheet name="pivots" sheetId="6" r:id="rId1"/>
    <sheet name="Data" sheetId="2" r:id="rId2"/>
    <sheet name="Customer Centre Report" sheetId="5" r:id="rId3"/>
    <sheet name="Assets" sheetId="4" r:id="rId4"/>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4" i="6" l="1"/>
  <c r="G48" i="6" a="1"/>
  <c r="G4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49" i="6" l="1"/>
  <c r="K52" i="6"/>
  <c r="J51" i="6"/>
  <c r="J50" i="6"/>
  <c r="K51" i="6"/>
  <c r="J48" i="6"/>
  <c r="J49" i="6"/>
  <c r="K50" i="6"/>
  <c r="J52" i="6"/>
  <c r="K4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0427FB-4CB8-42B7-AFD8-E861683E57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384FE3-03C9-495D-BB28-D45EEDF66FD4}"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D87D47F5-6DD5-49C1-86B3-E84B2265BA4D}"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<sst xmlns="http://schemas.openxmlformats.org/spreadsheetml/2006/main" count="3163" uniqueCount="1078">
  <si>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</si>
  <si>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</si>
  <si>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</si>
  <si>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</si>
  <si>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</si>
  <si>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</si>
  <si>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</si>
  <si>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</si>
  <si>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</si>
  <si>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</si>
  <si>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</si>
  <si>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</si>
  <si>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</si>
  <si>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</si>
  <si>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</si>
  <si>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</si>
  <si>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</si>
  <si>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</si>
  <si>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</si>
  <si>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</si>
  <si>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</si>
  <si>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</si>
  <si>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</si>
  <si>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</si>
  <si>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</si>
  <si>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</si>
  <si>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</si>
  <si>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</si>
  <si>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</si>
  <si>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</si>
  <si>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</si>
  <si>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</si>
  <si>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</si>
  <si>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</si>
  <si>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</si>
  <si>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</si>
  <si>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</si>
  <si>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</si>
  <si>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</si>
  <si>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</si>
  <si>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</si>
  <si>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</si>
  <si>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</si>
  <si>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</si>
  <si>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</si>
  <si>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</si>
  <si>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</si>
  <si>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</si>
  <si>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</si>
  <si>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</si>
  <si>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</si>
  <si>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</si>
  <si>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</si>
  <si>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</si>
  <si>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</si>
  <si>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</si>
  <si>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</si>
  <si>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</si>
  <si>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</si>
  <si>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</si>
  <si>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</si>
  <si>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</si>
  <si>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</si>
  <si>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</si>
  <si>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</si>
  <si>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</si>
  <si>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</si>
  <si>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</si>
  <si>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</si>
  <si>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</si>
  <si>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</si>
  <si>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</si>
  <si>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</si>
  <si>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</si>
  <si>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</si>
  <si>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</si>
  <si>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</si>
  <si>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</si>
  <si>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</si>
  <si>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</si>
  <si>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</si>
  <si>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</si>
  <si>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</si>
  <si>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</si>
  <si>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</si>
  <si>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</si>
  <si>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</si>
  <si>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</si>
  <si>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</si>
  <si>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</si>
  <si>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</si>
  <si>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</si>
  <si>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</si>
  <si>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</si>
  <si>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</si>
  <si>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</si>
  <si>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</si>
  <si>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</si>
  <si>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</si>
  <si>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</si>
  <si>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</si>
  <si>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</si>
  <si>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</si>
  <si>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</si>
  <si>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</si>
  <si>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</si>
  <si>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</si>
  <si>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</si>
  <si>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</si>
  <si>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</si>
  <si>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</si>
  <si>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</si>
  <si>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</si>
  <si>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</si>
  <si>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</si>
  <si>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</si>
  <si>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</si>
  <si>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</si>
  <si>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</si>
  <si>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</si>
  <si>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</si>
  <si>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</si>
  <si>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</si>
  <si>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</si>
  <si>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</si>
  <si>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</si>
  <si>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</si>
  <si>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</si>
  <si>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</si>
  <si>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</si>
  <si>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</si>
  <si>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</si>
  <si>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</si>
  <si>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</si>
  <si>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</si>
  <si>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</si>
  <si>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</si>
  <si>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</si>
  <si>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</si>
  <si>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</si>
  <si>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</si>
  <si>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</si>
  <si>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</si>
  <si>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</si>
  <si>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</si>
  <si>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</si>
  <si>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</si>
  <si>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</si>
  <si>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</si>
  <si>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</si>
  <si>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</si>
  <si>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</si>
  <si>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</si>
  <si>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</si>
  <si>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</si>
  <si>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</si>
  <si>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</si>
  <si>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</si>
  <si>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</si>
  <si>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</si>
  <si>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</si>
  <si>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</si>
  <si>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</si>
  <si>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</si>
  <si>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</si>
  <si>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</si>
  <si>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</si>
  <si>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</si>
  <si>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</si>
  <si>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</si>
  <si>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</si>
  <si>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</si>
  <si>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</si>
  <si>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</si>
  <si>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</si>
  <si>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</si>
  <si>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</si>
  <si>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</si>
  <si>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</si>
  <si>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</si>
  <si>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</si>
  <si>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</si>
  <si>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</si>
  <si>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</si>
  <si>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</si>
  <si>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</si>
  <si>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</si>
  <si>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</si>
  <si>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</si>
  <si>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</si>
  <si>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</si>
  <si>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</si>
  <si>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</si>
  <si>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</si>
  <si>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</si>
  <si>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</si>
  <si>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</si>
  <si>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</si>
  <si>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</si>
  <si>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</si>
  <si>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</si>
  <si>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</si>
  <si>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</si>
  <si>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</si>
  <si>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</si>
  <si>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</si>
  <si>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</si>
  <si>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</si>
  <si>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</si>
  <si>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</si>
  <si>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</si>
  <si>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</si>
  <si>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</si>
  <si>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</si>
  <si>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</si>
  <si>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</si>
  <si>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</si>
  <si>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</si>
  <si>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</si>
  <si>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</si>
  <si>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</si>
  <si>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</si>
  <si>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</si>
  <si>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</si>
  <si>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</si>
  <si>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</si>
  <si>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</si>
  <si>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</si>
  <si>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</si>
  <si>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</si>
  <si>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</si>
  <si>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</si>
  <si>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</si>
  <si>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</si>
  <si>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</si>
  <si>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</si>
  <si>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</si>
  <si>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</si>
  <si>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</si>
  <si>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</si>
  <si>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</si>
  <si>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</si>
  <si>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</si>
  <si>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</si>
  <si>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</si>
  <si>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</si>
  <si>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</si>
  <si>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</si>
  <si>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</si>
  <si>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</si>
  <si>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</si>
  <si>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</si>
  <si>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</si>
  <si>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</si>
  <si>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</si>
  <si>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</si>
  <si>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</si>
  <si>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</si>
  <si>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</si>
  <si>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</si>
  <si>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</si>
  <si>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</si>
  <si>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</si>
  <si>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</si>
  <si>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</si>
  <si>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</si>
  <si>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</si>
  <si>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</si>
  <si>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</si>
  <si>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</si>
  <si>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</si>
  <si>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</si>
  <si>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</si>
  <si>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</si>
  <si>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</si>
  <si>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</si>
  <si>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</si>
  <si>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</si>
  <si>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</si>
  <si>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</si>
  <si>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</si>
  <si>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</si>
  <si>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</si>
  <si>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</si>
  <si>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</si>
  <si>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</si>
  <si>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</si>
  <si>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</si>
  <si>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</si>
  <si>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</si>
  <si>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</si>
  <si>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</si>
  <si>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</si>
  <si>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</si>
  <si>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</si>
  <si>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</si>
  <si>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</si>
  <si>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</si>
  <si>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</si>
  <si>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</si>
  <si>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</si>
  <si>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</si>
  <si>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</si>
  <si>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</si>
  <si>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</si>
  <si>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</si>
  <si>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</si>
  <si>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</si>
  <si>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</si>
  <si>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</si>
  <si>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</si>
  <si>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</si>
  <si>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</si>
  <si>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</si>
  <si>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</si>
  <si>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</si>
  <si>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</si>
  <si>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</si>
  <si>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</si>
  <si>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</si>
  <si>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</si>
  <si>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</si>
  <si>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</si>
  <si>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</si>
  <si>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</si>
  <si>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</si>
  <si>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</si>
  <si>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</si>
  <si>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</si>
  <si>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</si>
  <si>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</si>
  <si>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</si>
  <si>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</si>
  <si>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</si>
  <si>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</si>
  <si>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</si>
  <si>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</si>
  <si>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</si>
  <si>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</si>
  <si>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</si>
  <si>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</si>
  <si>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</si>
  <si>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</si>
  <si>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</si>
  <si>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</si>
  <si>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</si>
  <si>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</si>
  <si>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</si>
  <si>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</si>
  <si>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</si>
  <si>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</si>
  <si>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</si>
  <si>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</si>
  <si>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</si>
  <si>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</si>
  <si>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</si>
  <si>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</si>
  <si>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</si>
  <si>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</si>
  <si>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</si>
  <si>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</si>
  <si>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</si>
  <si>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</si>
  <si>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</si>
  <si>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</si>
  <si>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</si>
  <si>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</si>
  <si>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</si>
  <si>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</si>
  <si>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</si>
  <si>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</si>
  <si>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</si>
  <si>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</si>
  <si>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</si>
  <si>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</si>
  <si>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</si>
  <si>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</si>
  <si>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</si>
  <si>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</si>
  <si>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</si>
  <si>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</si>
  <si>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</si>
  <si>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</si>
  <si>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</si>
  <si>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</si>
  <si>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</si>
  <si>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</si>
  <si>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</si>
  <si>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</si>
  <si>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</si>
  <si>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</si>
  <si>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</si>
  <si>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</si>
  <si>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</si>
  <si>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</si>
  <si>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</si>
  <si>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</si>
  <si>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</si>
  <si>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</si>
  <si>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</si>
  <si>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</si>
  <si>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</si>
  <si>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</si>
  <si>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</si>
  <si>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</si>
  <si>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</si>
  <si>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</si>
  <si>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</si>
  <si>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</si>
  <si>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</si>
  <si>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</si>
  <si>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</si>
  <si>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</si>
  <si>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</si>
  <si>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</si>
  <si>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</si>
  <si>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</si>
  <si>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</si>
  <si>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</si>
  <si>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</si>
  <si>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</si>
  <si>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</si>
  <si>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</si>
  <si>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</si>
  <si>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</si>
  <si>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</si>
  <si>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</si>
  <si>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</si>
  <si>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</si>
  <si>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</si>
  <si>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</si>
  <si>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</si>
  <si>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</si>
  <si>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</si>
  <si>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</si>
  <si>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</si>
  <si>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</si>
  <si>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</si>
  <si>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</si>
  <si>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</si>
  <si>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</si>
  <si>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</si>
  <si>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</si>
  <si>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</si>
  <si>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</si>
  <si>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</si>
  <si>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</si>
  <si>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</si>
  <si>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</si>
  <si>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</si>
  <si>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</si>
  <si>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</si>
  <si>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</si>
  <si>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</si>
  <si>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</si>
  <si>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</si>
  <si>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</si>
  <si>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</si>
  <si>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</si>
  <si>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</si>
  <si>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</si>
  <si>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</si>
  <si>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</si>
  <si>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</si>
  <si>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</si>
  <si>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</si>
  <si>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</si>
  <si>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</si>
  <si>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</si>
  <si>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</si>
  <si>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</si>
  <si>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</si>
  <si>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</si>
  <si>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</si>
  <si>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</si>
  <si>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</si>
  <si>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</si>
  <si>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</si>
  <si>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</si>
  <si>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</si>
  <si>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</si>
  <si>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</si>
  <si>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</si>
  <si>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</si>
  <si>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</si>
  <si>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</si>
  <si>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</si>
  <si>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</si>
  <si>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</si>
  <si>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</si>
  <si>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</si>
  <si>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</si>
  <si>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</si>
  <si>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</si>
  <si>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</si>
  <si>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</si>
  <si>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</si>
  <si>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</si>
  <si>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</si>
  <si>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</si>
  <si>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</si>
  <si>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</si>
  <si>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</si>
  <si>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</si>
  <si>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</si>
  <si>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</si>
  <si>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</si>
  <si>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</si>
  <si>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</si>
  <si>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</si>
  <si>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</si>
  <si>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</si>
  <si>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</si>
  <si>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</si>
  <si>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</si>
  <si>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</si>
  <si>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</si>
  <si>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</si>
  <si>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</si>
  <si>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</si>
  <si>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</si>
  <si>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</si>
  <si>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</si>
  <si>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</si>
  <si>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</si>
  <si>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</si>
  <si>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</si>
  <si>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</si>
  <si>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</si>
  <si>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</si>
  <si>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</si>
  <si>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</si>
  <si>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</si>
  <si>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</si>
  <si>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</si>
  <si>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</si>
  <si>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</si>
  <si>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</si>
  <si>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</si>
  <si>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</si>
  <si>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</si>
  <si>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</si>
  <si>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</si>
  <si>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</si>
  <si>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</si>
  <si>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</si>
  <si>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</si>
  <si>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</si>
  <si>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</si>
  <si>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</si>
  <si>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</si>
  <si>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</si>
  <si>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</si>
  <si>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</si>
  <si>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</si>
  <si>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</si>
  <si>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</si>
  <si>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</si>
  <si>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</si>
  <si>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</si>
  <si>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</si>
  <si>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</si>
  <si>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</si>
  <si>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</si>
  <si>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</si>
  <si>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</si>
  <si>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</si>
  <si>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</si>
  <si>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</si>
  <si>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</si>
  <si>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</si>
  <si>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</si>
  <si>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</si>
  <si>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</si>
  <si>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</si>
  <si>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</si>
  <si>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</si>
  <si>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</si>
  <si>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</si>
  <si>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</si>
  <si>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</si>
  <si>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</si>
  <si>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</si>
  <si>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</si>
  <si>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</si>
  <si>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</si>
  <si>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</si>
  <si>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</si>
  <si>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</si>
  <si>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</si>
  <si>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</si>
  <si>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</si>
  <si>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</si>
  <si>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</si>
  <si>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</si>
  <si>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</si>
  <si>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</si>
  <si>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</si>
  <si>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</si>
  <si>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</si>
  <si>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</si>
  <si>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</si>
  <si>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</si>
  <si>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</si>
  <si>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</si>
  <si>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</si>
  <si>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</si>
  <si>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</si>
  <si>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</si>
  <si>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</si>
  <si>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</si>
  <si>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</si>
  <si>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</si>
  <si>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</si>
  <si>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</si>
  <si>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</si>
  <si>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</si>
  <si>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</si>
  <si>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</si>
  <si>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</si>
  <si>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</si>
  <si>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</si>
  <si>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</si>
  <si>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</si>
  <si>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</si>
  <si>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</si>
  <si>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</si>
  <si>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</si>
  <si>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</si>
  <si>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</si>
  <si>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</si>
  <si>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</si>
  <si>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</si>
  <si>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</si>
  <si>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</si>
  <si>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</si>
  <si>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</si>
  <si>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</si>
  <si>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</si>
  <si>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</si>
  <si>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</si>
  <si>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</si>
  <si>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</si>
  <si>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</si>
  <si>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</si>
  <si>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</si>
  <si>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</si>
  <si>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</si>
  <si>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</si>
  <si>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</si>
  <si>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</si>
  <si>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</si>
  <si>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</si>
  <si>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</si>
  <si>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</si>
  <si>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</si>
  <si>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</si>
  <si>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</si>
  <si>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</si>
  <si>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</si>
  <si>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</si>
  <si>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</si>
  <si>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</si>
  <si>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</si>
  <si>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</si>
  <si>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</si>
  <si>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</si>
  <si>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</si>
  <si>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</si>
  <si>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</si>
  <si>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</si>
  <si>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</si>
  <si>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</si>
  <si>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</si>
  <si>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</si>
  <si>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</si>
  <si>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</si>
  <si>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</si>
  <si>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</si>
  <si>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</si>
  <si>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</si>
  <si>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</si>
  <si>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</si>
  <si>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</si>
  <si>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</si>
  <si>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</si>
  <si>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</si>
  <si>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</si>
  <si>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</si>
  <si>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</si>
  <si>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</si>
  <si>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</si>
  <si>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</si>
  <si>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</si>
  <si>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</si>
  <si>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</si>
  <si>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</si>
  <si>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</si>
  <si>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</si>
  <si>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</si>
  <si>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</si>
  <si>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</si>
  <si>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</si>
  <si>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</si>
  <si>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</si>
  <si>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</si>
  <si>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</si>
  <si>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</si>
  <si>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</si>
  <si>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</si>
  <si>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</si>
  <si>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</si>
  <si>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</si>
  <si>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</si>
  <si>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</si>
  <si>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</si>
  <si>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</si>
  <si>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</si>
  <si>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</si>
  <si>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</si>
  <si>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</si>
  <si>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</si>
  <si>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</si>
  <si>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</si>
  <si>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</si>
  <si>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</si>
  <si>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</si>
  <si>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</si>
  <si>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</si>
  <si>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</si>
  <si>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</si>
  <si>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</si>
  <si>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</si>
  <si>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</si>
  <si>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</si>
  <si>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</si>
  <si>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</si>
  <si>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</si>
  <si>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</si>
  <si>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</si>
  <si>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</si>
  <si>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</si>
  <si>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</si>
  <si>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</si>
  <si>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</si>
  <si>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</si>
  <si>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</si>
  <si>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</si>
  <si>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</si>
  <si>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</si>
  <si>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</si>
  <si>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</si>
  <si>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</si>
  <si>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</si>
  <si>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</si>
  <si>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</si>
  <si>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</si>
  <si>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</si>
  <si>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</si>
  <si>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</si>
  <si>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</si>
  <si>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</si>
  <si>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</si>
  <si>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</si>
  <si>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</si>
  <si>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</si>
  <si>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</si>
  <si>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</si>
  <si>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</si>
  <si>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</si>
  <si>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</si>
  <si>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</si>
  <si>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</si>
  <si>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</si>
  <si>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</si>
  <si>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</si>
  <si>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</si>
  <si>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</si>
  <si>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</si>
  <si>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</si>
  <si>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</si>
  <si>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</si>
  <si>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</si>
  <si>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</si>
  <si>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</si>
  <si>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</si>
  <si>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</si>
  <si>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</si>
  <si>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</si>
  <si>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</si>
  <si>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</si>
  <si>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</si>
  <si>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</si>
  <si>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</si>
  <si>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</si>
  <si>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</si>
  <si>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</si>
  <si>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</si>
  <si>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</si>
  <si>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</si>
  <si>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</si>
  <si>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</si>
  <si>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</si>
  <si>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</si>
  <si>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</si>
  <si>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</si>
  <si>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</si>
  <si>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</si>
  <si>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</si>
  <si>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</si>
  <si>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</si>
  <si>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</si>
  <si>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</si>
  <si>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</si>
  <si>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</si>
  <si>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</si>
  <si>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</si>
  <si>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</si>
  <si>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</si>
  <si>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</si>
  <si>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</si>
  <si>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</si>
  <si>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</si>
  <si>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</si>
  <si>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</si>
  <si>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</si>
  <si>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</si>
  <si>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</si>
  <si>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</si>
  <si>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</si>
  <si>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</si>
  <si>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</si>
  <si>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</si>
  <si>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</si>
  <si>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</si>
  <si>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</si>
  <si>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</si>
  <si>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</si>
  <si>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</si>
  <si>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</si>
  <si>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</si>
  <si>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</si>
  <si>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</si>
  <si>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</si>
  <si>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</si>
  <si>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</si>
  <si>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</si>
  <si>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</si>
  <si>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</si>
  <si>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</si>
  <si>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</si>
  <si>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</si>
  <si>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</si>
  <si>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</si>
  <si>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</si>
  <si>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</si>
  <si>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</si>
  <si>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</si>
  <si>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</si>
  <si>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</si>
  <si>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</si>
  <si>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</si>
  <si>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</si>
  <si>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</si>
  <si>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</si>
  <si>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</si>
  <si>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</si>
  <si>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</si>
  <si>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</si>
  <si>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</si>
  <si>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</si>
  <si>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</si>
  <si>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</si>
  <si>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</si>
  <si>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</si>
  <si>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</si>
  <si>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</si>
  <si>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</si>
  <si>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</si>
  <si>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</si>
  <si>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</si>
  <si>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</si>
  <si>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</si>
  <si>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</si>
  <si>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</si>
  <si>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</si>
  <si>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</si>
  <si>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</si>
  <si>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</si>
  <si>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</si>
  <si>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</si>
  <si>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</si>
  <si>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</si>
  <si>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</si>
  <si>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</si>
  <si>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</si>
  <si>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</si>
  <si>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</si>
  <si>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</si>
  <si>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</si>
  <si>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</si>
  <si>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</si>
  <si>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</si>
  <si>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</si>
  <si>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</si>
  <si>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</si>
  <si>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</si>
  <si>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</si>
  <si>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</si>
  <si>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</si>
  <si>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</si>
  <si>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</si>
  <si>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</si>
  <si>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</si>
  <si>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</si>
  <si>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</si>
  <si>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</si>
  <si>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</si>
  <si>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</si>
  <si>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</si>
  <si>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</si>
  <si>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</si>
  <si>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</si>
  <si>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</si>
  <si>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</si>
  <si>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</si>
  <si>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</si>
  <si>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</si>
  <si>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</si>
  <si>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</si>
  <si>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</si>
  <si>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</si>
  <si>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</si>
  <si>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</si>
  <si>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</si>
  <si>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</si>
  <si>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</si>
  <si>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</si>
  <si>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</si>
  <si>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</si>
  <si>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</si>
  <si>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</si>
  <si>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</si>
  <si>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</si>
  <si>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</si>
  <si>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</si>
  <si>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</si>
  <si>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</si>
  <si>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</si>
  <si>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</si>
  <si>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</si>
  <si>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</si>
  <si>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</si>
  <si>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</si>
  <si>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</si>
  <si>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</si>
  <si>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</si>
  <si>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</si>
  <si>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</si>
  <si>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</si>
  <si>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</si>
  <si>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</si>
  <si>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</si>
  <si>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</si>
  <si>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</si>
  <si>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</si>
  <si>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</si>
  <si>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</si>
  <si>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</si>
  <si>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</si>
  <si>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</si>
  <si>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</si>
  <si>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</si>
  <si>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</si>
  <si>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</si>
  <si>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</si>
  <si>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</si>
  <si>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</si>
  <si>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</si>
  <si>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</si>
  <si>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</si>
  <si>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</si>
  <si>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</si>
  <si>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</si>
  <si>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</si>
  <si>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</si>
  <si>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</si>
  <si>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</si>
  <si>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</si>
  <si>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</si>
  <si>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</si>
  <si>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</si>
  <si>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</si>
  <si>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</si>
  <si>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</si>
  <si>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</si>
  <si>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</si>
  <si>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</si>
  <si>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</si>
  <si>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</si>
  <si>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</si>
  <si>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</si>
  <si>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</si>
  <si>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</si>
  <si>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</si>
  <si>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</si>
  <si>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</si>
  <si>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</si>
  <si>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</si>
  <si>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</si>
  <si>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</si>
  <si>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</si>
  <si>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</si>
  <si>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</si>
  <si>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</si>
  <si>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</si>
  <si>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</si>
  <si>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</si>
  <si>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</si>
  <si>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</si>
  <si>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</si>
  <si>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</si>
  <si>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</si>
  <si>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</si>
  <si>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</si>
  <si>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</si>
  <si>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</si>
  <si>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</si>
  <si>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</si>
  <si>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</si>
  <si>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</si>
  <si>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</si>
  <si>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</si>
  <si>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</si>
  <si>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</si>
  <si>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</si>
  <si>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</si>
  <si>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</si>
  <si>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</si>
  <si>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</si>
  <si>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</si>
  <si>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</si>
  <si>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</si>
  <si>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</si>
  <si>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</si>
  <si>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</si>
  <si>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</si>
  <si>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</si>
  <si>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</si>
  <si>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</si>
  <si>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</si>
  <si>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</si>
  <si>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</si>
  <si>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</si>
  <si>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</si>
  <si>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</si>
  <si>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</si>
  <si>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</si>
  <si>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</si>
  <si>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</si>
  <si>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</si>
  <si>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</si>
  <si>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</si>
  <si>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</si>
  <si>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</si>
  <si>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</si>
  <si>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</si>
  <si>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</si>
  <si>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</si>
  <si>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</si>
  <si>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</si>
  <si>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</si>
  <si>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</si>
  <si>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Sel.Amount</t>
  </si>
  <si>
    <t>Selected rep</t>
  </si>
  <si>
    <t>Sel.Calls</t>
  </si>
  <si>
    <t>Column Labels</t>
  </si>
  <si>
    <t>Call Center Report-2023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</si>
</sst>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 #,##0;&quot;₹&quot;\ \-#,##0"/>
    <numFmt numFmtId="164" formatCode="[$-409]d\-mmm\-yy;@"/>
    <numFmt numFmtId="165" formatCode="&quot;₹&quot;\ #,##0;#,##0\ \-&quot;₹&quot;;&quot;₹&quot;\ #,##0"/>
    <numFmt numFmtId="166" formatCode="_-[$$-409]* #,##0.00_ ;_-[$$-409]* \-#,##0.00\ ;_-[$$-409]* &quot;-&quot;??_ ;_-@_ "/>
    <numFmt numFmtId="167" formatCode="_-[$$-409]* #,##0_ ;_-[$$-409]* \-#,##0\ ;_-[$$-409]* &quot;-&quot;??_ ;_-@_ "/>
    <numFmt numFmtId="168" formatCode="0.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0" tint="-4.9989318521683403E-2"/>
      <name val="Aptos"/>
      <family val="2"/>
      <scheme val="minor"/>
    </font>
    <font>
      <b/>
      <sz val="48"/>
      <color theme="8" tint="-0.249977111117893"/>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9"/>
        <bgColor indexed="64"/>
      </patternFill>
    </fill>
    <fill>
      <patternFill patternType="solid">
        <fgColor theme="5"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4" fillId="3" borderId="0" xfId="0" applyFont="1" applyFill="1"/>
    <xf numFmtId="3"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xf numFmtId="5" fontId="0" fillId="0" borderId="0" xfId="0" applyNumberFormat="1"/>
    <xf numFmtId="0" fontId="0" fillId="0" borderId="0" xfId="0" applyAlignment="1">
      <alignment horizontal="left" indent="1"/>
    </xf>
    <xf numFmtId="0" fontId="0" fillId="4" borderId="0" xfId="0" applyFill="1" applyAlignment="1">
      <alignment horizontal="left"/>
    </xf>
    <xf numFmtId="0" fontId="5" fillId="5" borderId="0" xfId="0" applyFont="1" applyFill="1" applyAlignment="1">
      <alignment horizontal="center"/>
    </xf>
    <xf numFmtId="0" fontId="0" fillId="5" borderId="0" xfId="0" applyFill="1" applyAlignment="1">
      <alignment horizontal="center"/>
    </xf>
  </cellXfs>
  <cellStyles count="1">
    <cellStyle name="Normal" xfId="0" builtinId="0"/>
  </cellStyles>
  <dxfs count="2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7" formatCode="_-[$$-409]* #,##0_ ;_-[$$-409]* \-#,##0\ ;_-[$$-409]* &quot;-&quot;??_ ;_-@_ "/>
    </dxf>
    <dxf>
      <fill>
        <patternFill patternType="solid">
          <bgColor theme="9"/>
        </patternFill>
      </fill>
    </dxf>
    <dxf>
      <font>
        <color theme="1"/>
      </font>
    </dxf>
    <dxf>
      <numFmt numFmtId="166" formatCode="_-[$$-409]* #,##0.00_ ;_-[$$-409]* \-#,##0.00\ ;_-[$$-409]* &quot;-&quot;??_ ;_-@_ "/>
    </dxf>
    <dxf>
      <numFmt numFmtId="166" formatCode="_-[$$-409]* #,##0.00_ ;_-[$$-409]* \-#,##0.00\ ;_-[$$-409]* &quot;-&quot;??_ ;_-@_ "/>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3"/>
    </tableStyle>
    <tableStyle name="SlicerStyleDark5 2" pivot="0" table="0" count="10" xr9:uid="{477D3307-62A3-41EB-820C-421E861ABF69}">
      <tableStyleElement type="wholeTable" dxfId="22"/>
      <tableStyleElement type="headerRow" dxfId="21"/>
    </tableStyle>
    <tableStyle name="SlicerStyleDark5 3" pivot="0" table="0" count="10" xr9:uid="{436E2D2F-CF27-4C3D-833C-7F63730A9FA8}">
      <tableStyleElement type="wholeTable" dxfId="20"/>
      <tableStyleElement type="headerRow" dxfId="1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1.xml"/><Relationship Id="rId21" Type="http://schemas.microsoft.com/office/2017/06/relationships/rdRichValue" Target="richData/rdrichvalue.xml"/><Relationship Id="rId34" Type="http://schemas.openxmlformats.org/officeDocument/2006/relationships/customXml" Target="../customXml/item9.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33"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center-data-excel report.xlsx]pivots!weekday trend</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622890888639"/>
          <c:y val="0.20174478316771216"/>
          <c:w val="0.73537710911136112"/>
          <c:h val="0.73842257690657109"/>
        </c:manualLayout>
      </c:layout>
      <c:barChart>
        <c:barDir val="bar"/>
        <c:grouping val="clustered"/>
        <c:varyColors val="0"/>
        <c:ser>
          <c:idx val="0"/>
          <c:order val="0"/>
          <c:tx>
            <c:strRef>
              <c:f>pivots!$I$24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pivots!$H$25:$H$32</c:f>
              <c:strCache>
                <c:ptCount val="7"/>
                <c:pt idx="0">
                  <c:v>Sunday</c:v>
                </c:pt>
                <c:pt idx="1">
                  <c:v>Monday</c:v>
                </c:pt>
                <c:pt idx="2">
                  <c:v>Tuesday</c:v>
                </c:pt>
                <c:pt idx="3">
                  <c:v>Wednesday</c:v>
                </c:pt>
                <c:pt idx="4">
                  <c:v>Thursday</c:v>
                </c:pt>
                <c:pt idx="5">
                  <c:v>Friday</c:v>
                </c:pt>
                <c:pt idx="6">
                  <c:v>Saturday</c:v>
                </c:pt>
              </c:strCache>
            </c:strRef>
          </c:cat>
          <c:val>
            <c:numRef>
              <c:f>pivots!$I$25:$I$32</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1-4686-4F39-8860-979FC26711C9}"/>
            </c:ext>
          </c:extLst>
        </c:ser>
        <c:dLbls>
          <c:showLegendKey val="0"/>
          <c:showVal val="0"/>
          <c:showCatName val="0"/>
          <c:showSerName val="0"/>
          <c:showPercent val="0"/>
          <c:showBubbleSize val="0"/>
        </c:dLbls>
        <c:gapWidth val="25"/>
        <c:axId val="603769247"/>
        <c:axId val="603753407"/>
      </c:barChart>
      <c:catAx>
        <c:axId val="603769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3753407"/>
        <c:crosses val="autoZero"/>
        <c:auto val="1"/>
        <c:lblAlgn val="ctr"/>
        <c:lblOffset val="100"/>
        <c:noMultiLvlLbl val="0"/>
      </c:catAx>
      <c:valAx>
        <c:axId val="603753407"/>
        <c:scaling>
          <c:orientation val="minMax"/>
        </c:scaling>
        <c:delete val="1"/>
        <c:axPos val="b"/>
        <c:numFmt formatCode="#,##0" sourceLinked="1"/>
        <c:majorTickMark val="none"/>
        <c:minorTickMark val="none"/>
        <c:tickLblPos val="nextTo"/>
        <c:crossAx val="60376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center-data-excel report.xlsx]pivots!monthly trend</c:name>
    <c:fmtId val="11"/>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latin typeface="+mj-lt"/>
              </a:rPr>
              <a:t>Call</a:t>
            </a:r>
            <a:r>
              <a:rPr lang="en-IN" sz="1600" b="1" baseline="0">
                <a:solidFill>
                  <a:schemeClr val="accent6"/>
                </a:solidFill>
                <a:latin typeface="+mj-lt"/>
              </a:rPr>
              <a:t> Trend</a:t>
            </a:r>
            <a:endParaRPr lang="en-IN" sz="1600" b="1">
              <a:solidFill>
                <a:schemeClr val="accent6"/>
              </a:solidFill>
              <a:latin typeface="+mj-lt"/>
            </a:endParaRPr>
          </a:p>
        </c:rich>
      </c:tx>
      <c:layout>
        <c:manualLayout>
          <c:xMode val="edge"/>
          <c:yMode val="edge"/>
          <c:x val="3.6761534747875503E-2"/>
          <c:y val="2.836254327893333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000">
                <a:schemeClr val="accent6">
                  <a:lumMod val="60000"/>
                  <a:lumOff val="40000"/>
                </a:schemeClr>
              </a:gs>
              <a:gs pos="95977">
                <a:srgbClr val="FF0000"/>
              </a:gs>
              <a:gs pos="100000">
                <a:srgbClr val="FF0000">
                  <a:alpha val="50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pivots!$C$23</c:f>
              <c:strCache>
                <c:ptCount val="1"/>
                <c:pt idx="0">
                  <c:v>call count</c:v>
                </c:pt>
              </c:strCache>
            </c:strRef>
          </c:tx>
          <c:spPr>
            <a:gradFill flip="none" rotWithShape="1">
              <a:gsLst>
                <a:gs pos="2000">
                  <a:schemeClr val="accent6">
                    <a:lumMod val="60000"/>
                    <a:lumOff val="40000"/>
                  </a:schemeClr>
                </a:gs>
                <a:gs pos="95977">
                  <a:srgbClr val="FF0000"/>
                </a:gs>
                <a:gs pos="100000">
                  <a:srgbClr val="FF0000">
                    <a:alpha val="50000"/>
                  </a:srgbClr>
                </a:gs>
              </a:gsLst>
              <a:lin ang="16200000" scaled="1"/>
              <a:tileRect/>
            </a:gradFill>
            <a:ln>
              <a:noFill/>
            </a:ln>
            <a:effectLst/>
          </c:spPr>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pivots!$C$24:$C$36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608B-49DF-8DAE-3426447624CE}"/>
            </c:ext>
          </c:extLst>
        </c:ser>
        <c:dLbls>
          <c:showLegendKey val="0"/>
          <c:showVal val="0"/>
          <c:showCatName val="0"/>
          <c:showSerName val="0"/>
          <c:showPercent val="0"/>
          <c:showBubbleSize val="0"/>
        </c:dLbls>
        <c:axId val="603809087"/>
        <c:axId val="603813407"/>
      </c:areaChart>
      <c:lineChart>
        <c:grouping val="standard"/>
        <c:varyColors val="0"/>
        <c:ser>
          <c:idx val="0"/>
          <c:order val="0"/>
          <c:tx>
            <c:strRef>
              <c:f>pivots!$B$23</c:f>
              <c:strCache>
                <c:ptCount val="1"/>
                <c:pt idx="0">
                  <c:v>call count2</c:v>
                </c:pt>
              </c:strCache>
            </c:strRef>
          </c:tx>
          <c:spPr>
            <a:ln w="28575" cap="rnd">
              <a:solidFill>
                <a:schemeClr val="accent6">
                  <a:lumMod val="50000"/>
                </a:schemeClr>
              </a:solidFill>
              <a:round/>
            </a:ln>
            <a:effectLst/>
          </c:spPr>
          <c:marker>
            <c:symbol val="circle"/>
            <c:size val="7"/>
            <c:spPr>
              <a:solidFill>
                <a:schemeClr val="bg1"/>
              </a:solidFill>
              <a:ln w="25400">
                <a:solidFill>
                  <a:schemeClr val="tx1"/>
                </a:solidFill>
              </a:ln>
              <a:effectLst/>
            </c:spPr>
          </c:marker>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pivots!$B$24:$B$36</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608B-49DF-8DAE-3426447624CE}"/>
            </c:ext>
          </c:extLst>
        </c:ser>
        <c:dLbls>
          <c:showLegendKey val="0"/>
          <c:showVal val="0"/>
          <c:showCatName val="0"/>
          <c:showSerName val="0"/>
          <c:showPercent val="0"/>
          <c:showBubbleSize val="0"/>
        </c:dLbls>
        <c:marker val="1"/>
        <c:smooth val="0"/>
        <c:axId val="603809087"/>
        <c:axId val="603813407"/>
      </c:lineChart>
      <c:catAx>
        <c:axId val="60380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13407"/>
        <c:crosses val="autoZero"/>
        <c:auto val="1"/>
        <c:lblAlgn val="ctr"/>
        <c:lblOffset val="100"/>
        <c:noMultiLvlLbl val="0"/>
      </c:catAx>
      <c:valAx>
        <c:axId val="603813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0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Calls</a:t>
            </a:r>
          </a:p>
        </c:rich>
      </c:tx>
      <c:layout>
        <c:manualLayout>
          <c:xMode val="edge"/>
          <c:yMode val="edge"/>
          <c:x val="2.3995335929382185E-2"/>
          <c:y val="2.264809356551612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pivots!$G$48:$G$52</c:f>
              <c:strCache>
                <c:ptCount val="5"/>
                <c:pt idx="0">
                  <c:v>R01</c:v>
                </c:pt>
                <c:pt idx="1">
                  <c:v>R02</c:v>
                </c:pt>
                <c:pt idx="2">
                  <c:v>R03</c:v>
                </c:pt>
                <c:pt idx="3">
                  <c:v>R04</c:v>
                </c:pt>
                <c:pt idx="4">
                  <c:v>R05</c:v>
                </c:pt>
              </c:strCache>
            </c:strRef>
          </c:cat>
          <c:val>
            <c:numRef>
              <c:f>pivots!$H$48:$H$52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E63-4404-969D-8919909D9848}"/>
            </c:ext>
          </c:extLst>
        </c:ser>
        <c:ser>
          <c:idx val="1"/>
          <c:order val="1"/>
          <c:tx>
            <c:strRef>
              <c:f>pivots!$J$47</c:f>
              <c:strCache>
                <c:ptCount val="1"/>
                <c:pt idx="0">
                  <c:v>Sel.Calls</c:v>
                </c:pt>
              </c:strCache>
            </c:strRef>
          </c:tx>
          <c:spPr>
            <a:gradFill flip="none" rotWithShape="1">
              <a:gsLst>
                <a:gs pos="99000">
                  <a:schemeClr val="accent5"/>
                </a:gs>
                <a:gs pos="8000">
                  <a:schemeClr val="accent5"/>
                </a:gs>
              </a:gsLst>
              <a:lin ang="16200000" scaled="1"/>
              <a:tileRect/>
            </a:gradFill>
            <a:ln>
              <a:noFill/>
            </a:ln>
            <a:effectLst/>
          </c:spPr>
          <c:invertIfNegative val="0"/>
          <c:val>
            <c:numRef>
              <c:f>pivots!$J$48:$J$52</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EE63-4404-969D-8919909D9848}"/>
            </c:ext>
          </c:extLst>
        </c:ser>
        <c:dLbls>
          <c:showLegendKey val="0"/>
          <c:showVal val="0"/>
          <c:showCatName val="0"/>
          <c:showSerName val="0"/>
          <c:showPercent val="0"/>
          <c:showBubbleSize val="0"/>
        </c:dLbls>
        <c:gapWidth val="25"/>
        <c:overlap val="100"/>
        <c:axId val="1354795503"/>
        <c:axId val="1354796463"/>
      </c:barChart>
      <c:catAx>
        <c:axId val="13547955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796463"/>
        <c:crosses val="autoZero"/>
        <c:auto val="1"/>
        <c:lblAlgn val="ctr"/>
        <c:lblOffset val="100"/>
        <c:noMultiLvlLbl val="0"/>
      </c:catAx>
      <c:valAx>
        <c:axId val="1354796463"/>
        <c:scaling>
          <c:orientation val="minMax"/>
          <c:min val="0"/>
        </c:scaling>
        <c:delete val="1"/>
        <c:axPos val="t"/>
        <c:numFmt formatCode="General" sourceLinked="1"/>
        <c:majorTickMark val="none"/>
        <c:minorTickMark val="none"/>
        <c:tickLblPos val="nextTo"/>
        <c:crossAx val="135479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Amount</a:t>
            </a:r>
          </a:p>
        </c:rich>
      </c:tx>
      <c:layout>
        <c:manualLayout>
          <c:xMode val="edge"/>
          <c:yMode val="edge"/>
          <c:x val="5.2976476363546736E-2"/>
          <c:y val="2.6712323004568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pivots!$G$48:$G$52</c:f>
              <c:strCache>
                <c:ptCount val="5"/>
                <c:pt idx="0">
                  <c:v>R01</c:v>
                </c:pt>
                <c:pt idx="1">
                  <c:v>R02</c:v>
                </c:pt>
                <c:pt idx="2">
                  <c:v>R03</c:v>
                </c:pt>
                <c:pt idx="3">
                  <c:v>R04</c:v>
                </c:pt>
                <c:pt idx="4">
                  <c:v>R05</c:v>
                </c:pt>
              </c:strCache>
            </c:strRef>
          </c:cat>
          <c:val>
            <c:numRef>
              <c:f>pivots!$I$48:$I$52</c:f>
              <c:numCache>
                <c:formatCode>"₹"#,##0_);\("₹"#,##0\)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A0F-4384-8024-80C33596869D}"/>
            </c:ext>
          </c:extLst>
        </c:ser>
        <c:ser>
          <c:idx val="1"/>
          <c:order val="1"/>
          <c:tx>
            <c:strRef>
              <c:f>pivots!$K$47</c:f>
              <c:strCache>
                <c:ptCount val="1"/>
                <c:pt idx="0">
                  <c:v>Sel.Amount</c:v>
                </c:pt>
              </c:strCache>
            </c:strRef>
          </c:tx>
          <c:spPr>
            <a:gradFill>
              <a:gsLst>
                <a:gs pos="99000">
                  <a:schemeClr val="accent6"/>
                </a:gs>
                <a:gs pos="8000">
                  <a:schemeClr val="accent6"/>
                </a:gs>
              </a:gsLst>
              <a:lin ang="16200000" scaled="1"/>
            </a:gradFill>
            <a:ln>
              <a:noFill/>
            </a:ln>
            <a:effectLst/>
          </c:spPr>
          <c:invertIfNegative val="0"/>
          <c:val>
            <c:numRef>
              <c:f>pivots!$K$48:$K$52</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1A0F-4384-8024-80C33596869D}"/>
            </c:ext>
          </c:extLst>
        </c:ser>
        <c:dLbls>
          <c:showLegendKey val="0"/>
          <c:showVal val="0"/>
          <c:showCatName val="0"/>
          <c:showSerName val="0"/>
          <c:showPercent val="0"/>
          <c:showBubbleSize val="0"/>
        </c:dLbls>
        <c:gapWidth val="25"/>
        <c:overlap val="100"/>
        <c:axId val="603759167"/>
        <c:axId val="603778847"/>
      </c:barChart>
      <c:catAx>
        <c:axId val="603759167"/>
        <c:scaling>
          <c:orientation val="maxMin"/>
        </c:scaling>
        <c:delete val="1"/>
        <c:axPos val="l"/>
        <c:numFmt formatCode="General" sourceLinked="1"/>
        <c:majorTickMark val="out"/>
        <c:minorTickMark val="none"/>
        <c:tickLblPos val="nextTo"/>
        <c:crossAx val="603778847"/>
        <c:crosses val="autoZero"/>
        <c:auto val="1"/>
        <c:lblAlgn val="ctr"/>
        <c:lblOffset val="100"/>
        <c:noMultiLvlLbl val="0"/>
      </c:catAx>
      <c:valAx>
        <c:axId val="603778847"/>
        <c:scaling>
          <c:orientation val="minMax"/>
        </c:scaling>
        <c:delete val="1"/>
        <c:axPos val="t"/>
        <c:numFmt formatCode="&quot;₹&quot;#,##0_);\(&quot;₹&quot;#,##0\)" sourceLinked="1"/>
        <c:majorTickMark val="out"/>
        <c:minorTickMark val="none"/>
        <c:tickLblPos val="nextTo"/>
        <c:crossAx val="60375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center-data-excel report.xlsx]pivots!PivotTable7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accent5"/>
                </a:solidFill>
                <a:latin typeface="+mj-lt"/>
              </a:rPr>
              <a:t>Female</a:t>
            </a:r>
            <a:r>
              <a:rPr lang="en-IN" b="0" baseline="0">
                <a:latin typeface="+mj-lt"/>
              </a:rPr>
              <a:t> vs.</a:t>
            </a:r>
            <a:r>
              <a:rPr lang="en-IN" b="0" baseline="0">
                <a:solidFill>
                  <a:schemeClr val="accent4"/>
                </a:solidFill>
                <a:latin typeface="+mj-lt"/>
              </a:rPr>
              <a:t>Male</a:t>
            </a:r>
            <a:r>
              <a:rPr lang="en-IN" b="0" baseline="0">
                <a:latin typeface="+mj-lt"/>
              </a:rPr>
              <a:t> Callers</a:t>
            </a:r>
            <a:endParaRPr lang="en-IN" b="0">
              <a:latin typeface="+mj-lt"/>
            </a:endParaRPr>
          </a:p>
        </c:rich>
      </c:tx>
      <c:layout>
        <c:manualLayout>
          <c:xMode val="edge"/>
          <c:yMode val="edge"/>
          <c:x val="0.20365390479886888"/>
          <c:y val="5.349794412034425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pivotFmt>
      <c:pivotFmt>
        <c:idx val="7"/>
        <c:spPr>
          <a:solidFill>
            <a:schemeClr val="accent4"/>
          </a:solidFill>
          <a:ln>
            <a:noFill/>
          </a:ln>
          <a:effectLst/>
        </c:spP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4"/>
          </a:solidFill>
          <a:ln>
            <a:noFill/>
          </a:ln>
          <a:effectLst/>
        </c:spPr>
        <c:dLbl>
          <c:idx val="0"/>
          <c:layout>
            <c:manualLayout>
              <c:x val="-5.4166675552276174E-3"/>
              <c:y val="-6.6872430150430331E-2"/>
            </c:manualLayout>
          </c:layout>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07919637125924"/>
                  <c:h val="0.12831502959447291"/>
                </c:manualLayout>
              </c15:layout>
            </c:ext>
          </c:extLst>
        </c:dLbl>
      </c:pivotFmt>
      <c:pivotFmt>
        <c:idx val="9"/>
        <c:spPr>
          <a:solidFill>
            <a:schemeClr val="accent4"/>
          </a:solidFill>
          <a:ln>
            <a:noFill/>
          </a:ln>
          <a:effectLst/>
        </c:spP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pivots!$H$68:$H$69</c:f>
              <c:strCache>
                <c:ptCount val="1"/>
                <c:pt idx="0">
                  <c:v>Female</c:v>
                </c:pt>
              </c:strCache>
            </c:strRef>
          </c:tx>
          <c:spPr>
            <a:solidFill>
              <a:schemeClr val="accent5"/>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pivots!$G$70:$G$73</c:f>
              <c:strCache>
                <c:ptCount val="3"/>
                <c:pt idx="0">
                  <c:v>Cincinnati</c:v>
                </c:pt>
                <c:pt idx="1">
                  <c:v>Cleveland</c:v>
                </c:pt>
                <c:pt idx="2">
                  <c:v>Columbus</c:v>
                </c:pt>
              </c:strCache>
            </c:strRef>
          </c:cat>
          <c:val>
            <c:numRef>
              <c:f>pivots!$H$70:$H$73</c:f>
              <c:numCache>
                <c:formatCode>#,##0</c:formatCode>
                <c:ptCount val="3"/>
                <c:pt idx="0">
                  <c:v>144</c:v>
                </c:pt>
                <c:pt idx="1">
                  <c:v>326</c:v>
                </c:pt>
                <c:pt idx="2">
                  <c:v>129</c:v>
                </c:pt>
              </c:numCache>
            </c:numRef>
          </c:val>
          <c:extLst>
            <c:ext xmlns:c16="http://schemas.microsoft.com/office/drawing/2014/chart" uri="{C3380CC4-5D6E-409C-BE32-E72D297353CC}">
              <c16:uniqueId val="{00000000-4345-4EEC-B069-86284FE09381}"/>
            </c:ext>
          </c:extLst>
        </c:ser>
        <c:ser>
          <c:idx val="1"/>
          <c:order val="1"/>
          <c:tx>
            <c:strRef>
              <c:f>pivots!$I$68:$I$69</c:f>
              <c:strCache>
                <c:ptCount val="1"/>
                <c:pt idx="0">
                  <c:v>Male</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3-4345-4EEC-B069-86284FE09381}"/>
              </c:ext>
            </c:extLst>
          </c:dPt>
          <c:dPt>
            <c:idx val="1"/>
            <c:invertIfNegative val="0"/>
            <c:bubble3D val="0"/>
            <c:extLst>
              <c:ext xmlns:c16="http://schemas.microsoft.com/office/drawing/2014/chart" uri="{C3380CC4-5D6E-409C-BE32-E72D297353CC}">
                <c16:uniqueId val="{00000005-4345-4EEC-B069-86284FE09381}"/>
              </c:ext>
            </c:extLst>
          </c:dPt>
          <c:dPt>
            <c:idx val="2"/>
            <c:invertIfNegative val="0"/>
            <c:bubble3D val="0"/>
            <c:extLst>
              <c:ext xmlns:c16="http://schemas.microsoft.com/office/drawing/2014/chart" uri="{C3380CC4-5D6E-409C-BE32-E72D297353CC}">
                <c16:uniqueId val="{00000004-4345-4EEC-B069-86284FE09381}"/>
              </c:ext>
            </c:extLst>
          </c:dPt>
          <c:dLbls>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4345-4EEC-B069-86284FE09381}"/>
                </c:ext>
              </c:extLst>
            </c:dLbl>
            <c:dLbl>
              <c:idx val="1"/>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5-4345-4EEC-B069-86284FE09381}"/>
                </c:ext>
              </c:extLst>
            </c:dLbl>
            <c:dLbl>
              <c:idx val="2"/>
              <c:layout>
                <c:manualLayout>
                  <c:x val="-5.4166675552276174E-3"/>
                  <c:y val="-6.6872430150430331E-2"/>
                </c:manualLayout>
              </c:layout>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8107919637125924"/>
                      <c:h val="0.12831502959447291"/>
                    </c:manualLayout>
                  </c15:layout>
                </c:ext>
                <c:ext xmlns:c16="http://schemas.microsoft.com/office/drawing/2014/chart" uri="{C3380CC4-5D6E-409C-BE32-E72D297353CC}">
                  <c16:uniqueId val="{00000004-4345-4EEC-B069-86284FE09381}"/>
                </c:ext>
              </c:extLst>
            </c:dLbl>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pivots!$G$70:$G$73</c:f>
              <c:strCache>
                <c:ptCount val="3"/>
                <c:pt idx="0">
                  <c:v>Cincinnati</c:v>
                </c:pt>
                <c:pt idx="1">
                  <c:v>Cleveland</c:v>
                </c:pt>
                <c:pt idx="2">
                  <c:v>Columbus</c:v>
                </c:pt>
              </c:strCache>
            </c:strRef>
          </c:cat>
          <c:val>
            <c:numRef>
              <c:f>pivots!$I$70:$I$73</c:f>
              <c:numCache>
                <c:formatCode>#,##0</c:formatCode>
                <c:ptCount val="3"/>
                <c:pt idx="0">
                  <c:v>132</c:v>
                </c:pt>
                <c:pt idx="1">
                  <c:v>63</c:v>
                </c:pt>
                <c:pt idx="2">
                  <c:v>206</c:v>
                </c:pt>
              </c:numCache>
            </c:numRef>
          </c:val>
          <c:extLst>
            <c:ext xmlns:c16="http://schemas.microsoft.com/office/drawing/2014/chart" uri="{C3380CC4-5D6E-409C-BE32-E72D297353CC}">
              <c16:uniqueId val="{00000001-4345-4EEC-B069-86284FE09381}"/>
            </c:ext>
          </c:extLst>
        </c:ser>
        <c:dLbls>
          <c:dLblPos val="ctr"/>
          <c:showLegendKey val="0"/>
          <c:showVal val="1"/>
          <c:showCatName val="0"/>
          <c:showSerName val="0"/>
          <c:showPercent val="0"/>
          <c:showBubbleSize val="0"/>
        </c:dLbls>
        <c:gapWidth val="25"/>
        <c:overlap val="100"/>
        <c:axId val="1354753263"/>
        <c:axId val="1354767183"/>
      </c:barChart>
      <c:catAx>
        <c:axId val="135475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767183"/>
        <c:crosses val="autoZero"/>
        <c:auto val="1"/>
        <c:lblAlgn val="ctr"/>
        <c:lblOffset val="100"/>
        <c:noMultiLvlLbl val="0"/>
      </c:catAx>
      <c:valAx>
        <c:axId val="1354767183"/>
        <c:scaling>
          <c:orientation val="minMax"/>
        </c:scaling>
        <c:delete val="1"/>
        <c:axPos val="l"/>
        <c:numFmt formatCode="0%" sourceLinked="1"/>
        <c:majorTickMark val="none"/>
        <c:minorTickMark val="none"/>
        <c:tickLblPos val="nextTo"/>
        <c:crossAx val="135475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center-data-excel report.xlsx]pivots!rep satification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2">
                    <a:lumMod val="50000"/>
                  </a:schemeClr>
                </a:solidFill>
                <a:latin typeface="+mj-lt"/>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pivots!$D$85</c:f>
              <c:strCache>
                <c:ptCount val="1"/>
                <c:pt idx="0">
                  <c:v>Total</c:v>
                </c:pt>
              </c:strCache>
            </c:strRef>
          </c:tx>
          <c:spPr>
            <a:solidFill>
              <a:schemeClr val="bg2">
                <a:lumMod val="50000"/>
              </a:schemeClr>
            </a:solidFill>
            <a:ln>
              <a:noFill/>
            </a:ln>
            <a:effectLst/>
          </c:spPr>
          <c:invertIfNegative val="0"/>
          <c:cat>
            <c:strRef>
              <c:f>pivots!$C$86:$C$90</c:f>
              <c:strCache>
                <c:ptCount val="4"/>
                <c:pt idx="0">
                  <c:v>2</c:v>
                </c:pt>
                <c:pt idx="1">
                  <c:v>3</c:v>
                </c:pt>
                <c:pt idx="2">
                  <c:v>4</c:v>
                </c:pt>
                <c:pt idx="3">
                  <c:v>5</c:v>
                </c:pt>
              </c:strCache>
            </c:strRef>
          </c:cat>
          <c:val>
            <c:numRef>
              <c:f>pivots!$D$86:$D$90</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34EC-48CB-A66E-422D8CE8BB24}"/>
            </c:ext>
          </c:extLst>
        </c:ser>
        <c:dLbls>
          <c:showLegendKey val="0"/>
          <c:showVal val="0"/>
          <c:showCatName val="0"/>
          <c:showSerName val="0"/>
          <c:showPercent val="0"/>
          <c:showBubbleSize val="0"/>
        </c:dLbls>
        <c:gapWidth val="10"/>
        <c:overlap val="-27"/>
        <c:axId val="1391776831"/>
        <c:axId val="1391777791"/>
      </c:barChart>
      <c:catAx>
        <c:axId val="1391776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777791"/>
        <c:crosses val="autoZero"/>
        <c:auto val="1"/>
        <c:lblAlgn val="ctr"/>
        <c:lblOffset val="100"/>
        <c:noMultiLvlLbl val="0"/>
      </c:catAx>
      <c:valAx>
        <c:axId val="1391777791"/>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776831"/>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14</xdr:col>
      <xdr:colOff>244735</xdr:colOff>
      <xdr:row>20</xdr:row>
      <xdr:rowOff>79334</xdr:rowOff>
    </xdr:from>
    <xdr:to>
      <xdr:col>17</xdr:col>
      <xdr:colOff>102846</xdr:colOff>
      <xdr:row>31</xdr:row>
      <xdr:rowOff>38867</xdr:rowOff>
    </xdr:to>
    <mc:AlternateContent xmlns:mc="http://schemas.openxmlformats.org/markup-compatibility/2006" xmlns:a14="http://schemas.microsoft.com/office/drawing/2010/main">
      <mc:Choice Requires="a14">
        <xdr:graphicFrame macro="">
          <xdr:nvGraphicFramePr>
            <xdr:cNvPr id="29" name="Representative">
              <a:extLst>
                <a:ext uri="{FF2B5EF4-FFF2-40B4-BE49-F238E27FC236}">
                  <a16:creationId xmlns:a16="http://schemas.microsoft.com/office/drawing/2014/main" id="{FD2BE764-26DD-4E86-8EAA-664F164A63E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402043" y="3742796"/>
              <a:ext cx="1836380" cy="2058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595922</xdr:colOff>
      <xdr:row>19</xdr:row>
      <xdr:rowOff>117230</xdr:rowOff>
    </xdr:from>
    <xdr:to>
      <xdr:col>14</xdr:col>
      <xdr:colOff>312616</xdr:colOff>
      <xdr:row>35</xdr:row>
      <xdr:rowOff>29308</xdr:rowOff>
    </xdr:to>
    <xdr:sp macro="" textlink="">
      <xdr:nvSpPr>
        <xdr:cNvPr id="36" name="Rectangle 35">
          <a:extLst>
            <a:ext uri="{FF2B5EF4-FFF2-40B4-BE49-F238E27FC236}">
              <a16:creationId xmlns:a16="http://schemas.microsoft.com/office/drawing/2014/main" id="{F8895F52-D5DA-BB6B-EDDA-8A8D9B835910}"/>
            </a:ext>
          </a:extLst>
        </xdr:cNvPr>
        <xdr:cNvSpPr/>
      </xdr:nvSpPr>
      <xdr:spPr>
        <a:xfrm>
          <a:off x="1514230" y="3643922"/>
          <a:ext cx="7024078" cy="288192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468921</xdr:colOff>
      <xdr:row>5</xdr:row>
      <xdr:rowOff>29308</xdr:rowOff>
    </xdr:from>
    <xdr:to>
      <xdr:col>15</xdr:col>
      <xdr:colOff>341922</xdr:colOff>
      <xdr:row>16</xdr:row>
      <xdr:rowOff>29309</xdr:rowOff>
    </xdr:to>
    <xdr:graphicFrame macro="">
      <xdr:nvGraphicFramePr>
        <xdr:cNvPr id="31" name="Chart 30">
          <a:extLst>
            <a:ext uri="{FF2B5EF4-FFF2-40B4-BE49-F238E27FC236}">
              <a16:creationId xmlns:a16="http://schemas.microsoft.com/office/drawing/2014/main" id="{178EAA6C-A2A9-4C28-9486-FBDB50D90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4</xdr:row>
      <xdr:rowOff>12700</xdr:rowOff>
    </xdr:from>
    <xdr:to>
      <xdr:col>3</xdr:col>
      <xdr:colOff>469900</xdr:colOff>
      <xdr:row>8</xdr:row>
      <xdr:rowOff>107950</xdr:rowOff>
    </xdr:to>
    <xdr:sp macro="" textlink="pivots!A4">
      <xdr:nvSpPr>
        <xdr:cNvPr id="2" name="Rectangle 1">
          <a:extLst>
            <a:ext uri="{FF2B5EF4-FFF2-40B4-BE49-F238E27FC236}">
              <a16:creationId xmlns:a16="http://schemas.microsoft.com/office/drawing/2014/main" id="{E8479C24-F796-C988-BEE6-BD4DDEF2C4D6}"/>
            </a:ext>
          </a:extLst>
        </xdr:cNvPr>
        <xdr:cNvSpPr/>
      </xdr:nvSpPr>
      <xdr:spPr>
        <a:xfrm>
          <a:off x="95250" y="749300"/>
          <a:ext cx="1289050" cy="831850"/>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4B8713-16C6-434E-9AA5-EADF0F2B13AE}" type="TxLink">
            <a:rPr lang="en-US" sz="2800" b="0" i="0" u="none" strike="noStrike">
              <a:solidFill>
                <a:schemeClr val="bg1"/>
              </a:solidFill>
              <a:latin typeface="+mj-lt"/>
            </a:rPr>
            <a:pPr algn="ctr"/>
            <a:t>1,000</a:t>
          </a:fld>
          <a:endParaRPr lang="en-IN" sz="2800">
            <a:solidFill>
              <a:schemeClr val="bg1"/>
            </a:solidFill>
            <a:latin typeface="+mj-lt"/>
          </a:endParaRPr>
        </a:p>
      </xdr:txBody>
    </xdr:sp>
    <xdr:clientData/>
  </xdr:twoCellAnchor>
  <xdr:oneCellAnchor>
    <xdr:from>
      <xdr:col>2</xdr:col>
      <xdr:colOff>406400</xdr:colOff>
      <xdr:row>5</xdr:row>
      <xdr:rowOff>50800</xdr:rowOff>
    </xdr:from>
    <xdr:ext cx="184731" cy="264560"/>
    <xdr:sp macro="" textlink="">
      <xdr:nvSpPr>
        <xdr:cNvPr id="3" name="TextBox 2">
          <a:extLst>
            <a:ext uri="{FF2B5EF4-FFF2-40B4-BE49-F238E27FC236}">
              <a16:creationId xmlns:a16="http://schemas.microsoft.com/office/drawing/2014/main" id="{A36C181E-DA8F-09A1-E226-E4787E3AF61F}"/>
            </a:ext>
          </a:extLst>
        </xdr:cNvPr>
        <xdr:cNvSpPr txBox="1"/>
      </xdr:nvSpPr>
      <xdr:spPr>
        <a:xfrm>
          <a:off x="660400" y="97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95250</xdr:colOff>
      <xdr:row>4</xdr:row>
      <xdr:rowOff>44450</xdr:rowOff>
    </xdr:from>
    <xdr:to>
      <xdr:col>3</xdr:col>
      <xdr:colOff>323850</xdr:colOff>
      <xdr:row>5</xdr:row>
      <xdr:rowOff>50800</xdr:rowOff>
    </xdr:to>
    <xdr:sp macro="" textlink="">
      <xdr:nvSpPr>
        <xdr:cNvPr id="4" name="TextBox 3">
          <a:extLst>
            <a:ext uri="{FF2B5EF4-FFF2-40B4-BE49-F238E27FC236}">
              <a16:creationId xmlns:a16="http://schemas.microsoft.com/office/drawing/2014/main" id="{64715BBD-DF0E-C45A-0917-07367C3BF1D7}"/>
            </a:ext>
          </a:extLst>
        </xdr:cNvPr>
        <xdr:cNvSpPr txBox="1"/>
      </xdr:nvSpPr>
      <xdr:spPr>
        <a:xfrm>
          <a:off x="222250" y="781050"/>
          <a:ext cx="1016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mj-lt"/>
            </a:rPr>
            <a:t>Calls</a:t>
          </a:r>
        </a:p>
      </xdr:txBody>
    </xdr:sp>
    <xdr:clientData/>
  </xdr:twoCellAnchor>
  <xdr:twoCellAnchor editAs="oneCell">
    <xdr:from>
      <xdr:col>0</xdr:col>
      <xdr:colOff>107950</xdr:colOff>
      <xdr:row>4</xdr:row>
      <xdr:rowOff>38100</xdr:rowOff>
    </xdr:from>
    <xdr:to>
      <xdr:col>2</xdr:col>
      <xdr:colOff>139700</xdr:colOff>
      <xdr:row>5</xdr:row>
      <xdr:rowOff>128145</xdr:rowOff>
    </xdr:to>
    <xdr:pic>
      <xdr:nvPicPr>
        <xdr:cNvPr id="5" name="Graphic 4" descr="Receiver with solid fill">
          <a:extLst>
            <a:ext uri="{FF2B5EF4-FFF2-40B4-BE49-F238E27FC236}">
              <a16:creationId xmlns:a16="http://schemas.microsoft.com/office/drawing/2014/main" id="{CBB467FC-B2CC-4215-82F3-7BD7C6F8004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665813">
          <a:off x="107950" y="774700"/>
          <a:ext cx="285750" cy="274195"/>
        </a:xfrm>
        <a:prstGeom prst="rect">
          <a:avLst/>
        </a:prstGeom>
      </xdr:spPr>
    </xdr:pic>
    <xdr:clientData/>
  </xdr:twoCellAnchor>
  <xdr:twoCellAnchor>
    <xdr:from>
      <xdr:col>2</xdr:col>
      <xdr:colOff>107950</xdr:colOff>
      <xdr:row>7</xdr:row>
      <xdr:rowOff>82550</xdr:rowOff>
    </xdr:from>
    <xdr:to>
      <xdr:col>3</xdr:col>
      <xdr:colOff>228600</xdr:colOff>
      <xdr:row>8</xdr:row>
      <xdr:rowOff>63500</xdr:rowOff>
    </xdr:to>
    <xdr:sp macro="" textlink="pivots!A14">
      <xdr:nvSpPr>
        <xdr:cNvPr id="6" name="TextBox 5">
          <a:extLst>
            <a:ext uri="{FF2B5EF4-FFF2-40B4-BE49-F238E27FC236}">
              <a16:creationId xmlns:a16="http://schemas.microsoft.com/office/drawing/2014/main" id="{3D57EBBB-1B5A-01F0-C63F-D2451A99F996}"/>
            </a:ext>
          </a:extLst>
        </xdr:cNvPr>
        <xdr:cNvSpPr txBox="1"/>
      </xdr:nvSpPr>
      <xdr:spPr>
        <a:xfrm>
          <a:off x="361950" y="1371600"/>
          <a:ext cx="781050" cy="1651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969373-2CB5-4D1B-8918-E2E35069C15F}" type="TxLink">
            <a:rPr lang="en-US" sz="1200" b="0" i="0" u="none" strike="noStrike">
              <a:solidFill>
                <a:schemeClr val="bg1">
                  <a:lumMod val="85000"/>
                </a:schemeClr>
              </a:solidFill>
              <a:latin typeface="+mj-lt"/>
            </a:rPr>
            <a:pPr algn="ctr"/>
            <a:t>200</a:t>
          </a:fld>
          <a:endParaRPr lang="en-IN" sz="1200">
            <a:solidFill>
              <a:schemeClr val="bg1">
                <a:lumMod val="85000"/>
              </a:schemeClr>
            </a:solidFill>
            <a:latin typeface="+mj-lt"/>
          </a:endParaRPr>
        </a:p>
      </xdr:txBody>
    </xdr:sp>
    <xdr:clientData/>
  </xdr:twoCellAnchor>
  <xdr:twoCellAnchor>
    <xdr:from>
      <xdr:col>0</xdr:col>
      <xdr:colOff>95493</xdr:colOff>
      <xdr:row>9</xdr:row>
      <xdr:rowOff>56662</xdr:rowOff>
    </xdr:from>
    <xdr:to>
      <xdr:col>3</xdr:col>
      <xdr:colOff>470143</xdr:colOff>
      <xdr:row>13</xdr:row>
      <xdr:rowOff>151912</xdr:rowOff>
    </xdr:to>
    <xdr:sp macro="" textlink="pivots!B4">
      <xdr:nvSpPr>
        <xdr:cNvPr id="7" name="Rectangle 6">
          <a:extLst>
            <a:ext uri="{FF2B5EF4-FFF2-40B4-BE49-F238E27FC236}">
              <a16:creationId xmlns:a16="http://schemas.microsoft.com/office/drawing/2014/main" id="{A4EFC049-FC9F-411D-BB9A-2261FE5F378B}"/>
            </a:ext>
          </a:extLst>
        </xdr:cNvPr>
        <xdr:cNvSpPr/>
      </xdr:nvSpPr>
      <xdr:spPr>
        <a:xfrm>
          <a:off x="95493" y="1705220"/>
          <a:ext cx="1290515" cy="827942"/>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66C546-EFC0-4124-A1CF-90811406EC4D}" type="TxLink">
            <a:rPr lang="en-US" sz="1600" b="0" i="0" u="none" strike="noStrike">
              <a:solidFill>
                <a:schemeClr val="bg1"/>
              </a:solidFill>
              <a:latin typeface="+mj-lt"/>
              <a:ea typeface="+mn-ea"/>
              <a:cs typeface="+mn-cs"/>
            </a:rPr>
            <a:pPr marL="0" indent="0" algn="ctr"/>
            <a:t> $96,623.00 </a:t>
          </a:fld>
          <a:endParaRPr lang="en-IN" sz="1600" b="0" i="0" u="none" strike="noStrike">
            <a:solidFill>
              <a:schemeClr val="bg1"/>
            </a:solidFill>
            <a:latin typeface="+mj-lt"/>
            <a:ea typeface="+mn-ea"/>
            <a:cs typeface="+mn-cs"/>
          </a:endParaRPr>
        </a:p>
      </xdr:txBody>
    </xdr:sp>
    <xdr:clientData/>
  </xdr:twoCellAnchor>
  <xdr:oneCellAnchor>
    <xdr:from>
      <xdr:col>2</xdr:col>
      <xdr:colOff>495300</xdr:colOff>
      <xdr:row>10</xdr:row>
      <xdr:rowOff>158750</xdr:rowOff>
    </xdr:from>
    <xdr:ext cx="184731" cy="264560"/>
    <xdr:sp macro="" textlink="">
      <xdr:nvSpPr>
        <xdr:cNvPr id="8" name="TextBox 7">
          <a:extLst>
            <a:ext uri="{FF2B5EF4-FFF2-40B4-BE49-F238E27FC236}">
              <a16:creationId xmlns:a16="http://schemas.microsoft.com/office/drawing/2014/main" id="{A4D5A690-6EC5-4F00-A315-6EF1F0F3BEC2}"/>
            </a:ext>
          </a:extLst>
        </xdr:cNvPr>
        <xdr:cNvSpPr txBox="1"/>
      </xdr:nvSpPr>
      <xdr:spPr>
        <a:xfrm>
          <a:off x="751742" y="19904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57150</xdr:colOff>
      <xdr:row>9</xdr:row>
      <xdr:rowOff>152400</xdr:rowOff>
    </xdr:from>
    <xdr:to>
      <xdr:col>3</xdr:col>
      <xdr:colOff>412750</xdr:colOff>
      <xdr:row>10</xdr:row>
      <xdr:rowOff>158750</xdr:rowOff>
    </xdr:to>
    <xdr:sp macro="" textlink="">
      <xdr:nvSpPr>
        <xdr:cNvPr id="9" name="TextBox 8">
          <a:extLst>
            <a:ext uri="{FF2B5EF4-FFF2-40B4-BE49-F238E27FC236}">
              <a16:creationId xmlns:a16="http://schemas.microsoft.com/office/drawing/2014/main" id="{29732BD5-C889-41D3-88B7-13C7FB60AAA9}"/>
            </a:ext>
          </a:extLst>
        </xdr:cNvPr>
        <xdr:cNvSpPr txBox="1"/>
      </xdr:nvSpPr>
      <xdr:spPr>
        <a:xfrm>
          <a:off x="311150" y="1809750"/>
          <a:ext cx="1016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mj-lt"/>
            </a:rPr>
            <a:t>Amount</a:t>
          </a:r>
        </a:p>
      </xdr:txBody>
    </xdr:sp>
    <xdr:clientData/>
  </xdr:twoCellAnchor>
  <xdr:twoCellAnchor editAs="oneCell">
    <xdr:from>
      <xdr:col>1</xdr:col>
      <xdr:colOff>56577</xdr:colOff>
      <xdr:row>9</xdr:row>
      <xdr:rowOff>88900</xdr:rowOff>
    </xdr:from>
    <xdr:to>
      <xdr:col>2</xdr:col>
      <xdr:colOff>203772</xdr:colOff>
      <xdr:row>10</xdr:row>
      <xdr:rowOff>178945</xdr:rowOff>
    </xdr:to>
    <xdr:pic>
      <xdr:nvPicPr>
        <xdr:cNvPr id="10" name="Graphic 9">
          <a:extLst>
            <a:ext uri="{FF2B5EF4-FFF2-40B4-BE49-F238E27FC236}">
              <a16:creationId xmlns:a16="http://schemas.microsoft.com/office/drawing/2014/main" id="{C799DBDA-C4D3-48E6-ADB4-8D5695105CF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rot="255771">
          <a:off x="184798" y="1737458"/>
          <a:ext cx="275416" cy="273218"/>
        </a:xfrm>
        <a:prstGeom prst="rect">
          <a:avLst/>
        </a:prstGeom>
      </xdr:spPr>
    </xdr:pic>
    <xdr:clientData/>
  </xdr:twoCellAnchor>
  <xdr:twoCellAnchor>
    <xdr:from>
      <xdr:col>2</xdr:col>
      <xdr:colOff>114300</xdr:colOff>
      <xdr:row>12</xdr:row>
      <xdr:rowOff>82550</xdr:rowOff>
    </xdr:from>
    <xdr:to>
      <xdr:col>3</xdr:col>
      <xdr:colOff>234950</xdr:colOff>
      <xdr:row>13</xdr:row>
      <xdr:rowOff>63500</xdr:rowOff>
    </xdr:to>
    <xdr:sp macro="" textlink="pivots!B14">
      <xdr:nvSpPr>
        <xdr:cNvPr id="11" name="TextBox 10">
          <a:extLst>
            <a:ext uri="{FF2B5EF4-FFF2-40B4-BE49-F238E27FC236}">
              <a16:creationId xmlns:a16="http://schemas.microsoft.com/office/drawing/2014/main" id="{79CA6CCE-D565-40B7-9CE2-2A556309ACEC}"/>
            </a:ext>
          </a:extLst>
        </xdr:cNvPr>
        <xdr:cNvSpPr txBox="1"/>
      </xdr:nvSpPr>
      <xdr:spPr>
        <a:xfrm>
          <a:off x="368300" y="2292350"/>
          <a:ext cx="781050" cy="1651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EE10D-05CC-47B9-B985-693646419297}" type="TxLink">
            <a:rPr lang="en-US" sz="1100" b="0" i="0" u="none" strike="noStrike">
              <a:solidFill>
                <a:schemeClr val="bg1"/>
              </a:solidFill>
              <a:latin typeface="Aptos"/>
            </a:rPr>
            <a:pPr algn="ctr"/>
            <a:t> $20,104 </a:t>
          </a:fld>
          <a:endParaRPr lang="en-IN" sz="1200">
            <a:solidFill>
              <a:schemeClr val="bg1"/>
            </a:solidFill>
            <a:latin typeface="+mj-lt"/>
          </a:endParaRPr>
        </a:p>
      </xdr:txBody>
    </xdr:sp>
    <xdr:clientData/>
  </xdr:twoCellAnchor>
  <xdr:twoCellAnchor>
    <xdr:from>
      <xdr:col>0</xdr:col>
      <xdr:colOff>122360</xdr:colOff>
      <xdr:row>14</xdr:row>
      <xdr:rowOff>131379</xdr:rowOff>
    </xdr:from>
    <xdr:to>
      <xdr:col>3</xdr:col>
      <xdr:colOff>495789</xdr:colOff>
      <xdr:row>19</xdr:row>
      <xdr:rowOff>130175</xdr:rowOff>
    </xdr:to>
    <xdr:sp macro="" textlink="pivots!C4">
      <xdr:nvSpPr>
        <xdr:cNvPr id="12" name="Rectangle 11">
          <a:extLst>
            <a:ext uri="{FF2B5EF4-FFF2-40B4-BE49-F238E27FC236}">
              <a16:creationId xmlns:a16="http://schemas.microsoft.com/office/drawing/2014/main" id="{A7B83C38-8E5D-484E-826B-F7859042C4B3}"/>
            </a:ext>
          </a:extLst>
        </xdr:cNvPr>
        <xdr:cNvSpPr/>
      </xdr:nvSpPr>
      <xdr:spPr>
        <a:xfrm>
          <a:off x="122360" y="2737069"/>
          <a:ext cx="1293084" cy="929399"/>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C8D5EC1-CA01-47B8-B9B4-07C5D470B883}" type="TxLink">
            <a:rPr lang="en-US" sz="2800" b="0" i="0" u="none" strike="noStrike">
              <a:solidFill>
                <a:schemeClr val="bg1"/>
              </a:solidFill>
              <a:latin typeface="+mj-lt"/>
              <a:ea typeface="+mn-ea"/>
              <a:cs typeface="+mn-cs"/>
            </a:rPr>
            <a:pPr marL="0" indent="0" algn="ctr"/>
            <a:t>89,850</a:t>
          </a:fld>
          <a:endParaRPr lang="en-IN" sz="2800" b="0" i="0" u="none" strike="noStrike">
            <a:solidFill>
              <a:schemeClr val="bg1"/>
            </a:solidFill>
            <a:latin typeface="+mj-lt"/>
            <a:ea typeface="+mn-ea"/>
            <a:cs typeface="+mn-cs"/>
          </a:endParaRPr>
        </a:p>
      </xdr:txBody>
    </xdr:sp>
    <xdr:clientData/>
  </xdr:twoCellAnchor>
  <xdr:oneCellAnchor>
    <xdr:from>
      <xdr:col>2</xdr:col>
      <xdr:colOff>495300</xdr:colOff>
      <xdr:row>16</xdr:row>
      <xdr:rowOff>158750</xdr:rowOff>
    </xdr:from>
    <xdr:ext cx="184731" cy="264560"/>
    <xdr:sp macro="" textlink="">
      <xdr:nvSpPr>
        <xdr:cNvPr id="13" name="TextBox 12">
          <a:extLst>
            <a:ext uri="{FF2B5EF4-FFF2-40B4-BE49-F238E27FC236}">
              <a16:creationId xmlns:a16="http://schemas.microsoft.com/office/drawing/2014/main" id="{306239BA-FCC7-4041-9B31-64F4B271020F}"/>
            </a:ext>
          </a:extLst>
        </xdr:cNvPr>
        <xdr:cNvSpPr txBox="1"/>
      </xdr:nvSpPr>
      <xdr:spPr>
        <a:xfrm>
          <a:off x="749300" y="3105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57150</xdr:colOff>
      <xdr:row>14</xdr:row>
      <xdr:rowOff>133350</xdr:rowOff>
    </xdr:from>
    <xdr:to>
      <xdr:col>3</xdr:col>
      <xdr:colOff>412750</xdr:colOff>
      <xdr:row>16</xdr:row>
      <xdr:rowOff>25400</xdr:rowOff>
    </xdr:to>
    <xdr:sp macro="" textlink="">
      <xdr:nvSpPr>
        <xdr:cNvPr id="14" name="TextBox 13">
          <a:extLst>
            <a:ext uri="{FF2B5EF4-FFF2-40B4-BE49-F238E27FC236}">
              <a16:creationId xmlns:a16="http://schemas.microsoft.com/office/drawing/2014/main" id="{29E3297F-3061-4F5A-BE73-D368469323DB}"/>
            </a:ext>
          </a:extLst>
        </xdr:cNvPr>
        <xdr:cNvSpPr txBox="1"/>
      </xdr:nvSpPr>
      <xdr:spPr>
        <a:xfrm>
          <a:off x="311150" y="2711450"/>
          <a:ext cx="10160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mj-lt"/>
            </a:rPr>
            <a:t>Duration</a:t>
          </a:r>
        </a:p>
      </xdr:txBody>
    </xdr:sp>
    <xdr:clientData/>
  </xdr:twoCellAnchor>
  <xdr:twoCellAnchor editAs="oneCell">
    <xdr:from>
      <xdr:col>1</xdr:col>
      <xdr:colOff>18478</xdr:colOff>
      <xdr:row>15</xdr:row>
      <xdr:rowOff>25400</xdr:rowOff>
    </xdr:from>
    <xdr:to>
      <xdr:col>2</xdr:col>
      <xdr:colOff>165673</xdr:colOff>
      <xdr:row>16</xdr:row>
      <xdr:rowOff>115445</xdr:rowOff>
    </xdr:to>
    <xdr:pic>
      <xdr:nvPicPr>
        <xdr:cNvPr id="15" name="Graphic 14">
          <a:extLst>
            <a:ext uri="{FF2B5EF4-FFF2-40B4-BE49-F238E27FC236}">
              <a16:creationId xmlns:a16="http://schemas.microsoft.com/office/drawing/2014/main" id="{2CA72C8D-F412-47B3-9442-5848B699726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146699" y="2772996"/>
          <a:ext cx="275416" cy="273218"/>
        </a:xfrm>
        <a:prstGeom prst="rect">
          <a:avLst/>
        </a:prstGeom>
      </xdr:spPr>
    </xdr:pic>
    <xdr:clientData/>
  </xdr:twoCellAnchor>
  <xdr:twoCellAnchor>
    <xdr:from>
      <xdr:col>2</xdr:col>
      <xdr:colOff>120650</xdr:colOff>
      <xdr:row>18</xdr:row>
      <xdr:rowOff>44450</xdr:rowOff>
    </xdr:from>
    <xdr:to>
      <xdr:col>3</xdr:col>
      <xdr:colOff>241300</xdr:colOff>
      <xdr:row>19</xdr:row>
      <xdr:rowOff>25400</xdr:rowOff>
    </xdr:to>
    <xdr:sp macro="" textlink="pivots!C14">
      <xdr:nvSpPr>
        <xdr:cNvPr id="16" name="TextBox 15">
          <a:extLst>
            <a:ext uri="{FF2B5EF4-FFF2-40B4-BE49-F238E27FC236}">
              <a16:creationId xmlns:a16="http://schemas.microsoft.com/office/drawing/2014/main" id="{C2E5B883-A917-4B81-9878-8D3022C18604}"/>
            </a:ext>
          </a:extLst>
        </xdr:cNvPr>
        <xdr:cNvSpPr txBox="1"/>
      </xdr:nvSpPr>
      <xdr:spPr>
        <a:xfrm>
          <a:off x="374650" y="3359150"/>
          <a:ext cx="781050" cy="1651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4E7B98-F6B8-4CD7-9197-C844C5A4946D}" type="TxLink">
            <a:rPr lang="en-US" sz="1100" b="0" i="0" u="none" strike="noStrike">
              <a:solidFill>
                <a:schemeClr val="bg1"/>
              </a:solidFill>
              <a:latin typeface="Aptos"/>
            </a:rPr>
            <a:pPr algn="ctr"/>
            <a:t>18,209</a:t>
          </a:fld>
          <a:endParaRPr lang="en-IN" sz="1200">
            <a:solidFill>
              <a:schemeClr val="bg1"/>
            </a:solidFill>
            <a:latin typeface="+mj-lt"/>
          </a:endParaRPr>
        </a:p>
      </xdr:txBody>
    </xdr:sp>
    <xdr:clientData/>
  </xdr:twoCellAnchor>
  <xdr:twoCellAnchor>
    <xdr:from>
      <xdr:col>0</xdr:col>
      <xdr:colOff>114300</xdr:colOff>
      <xdr:row>20</xdr:row>
      <xdr:rowOff>127000</xdr:rowOff>
    </xdr:from>
    <xdr:to>
      <xdr:col>3</xdr:col>
      <xdr:colOff>488950</xdr:colOff>
      <xdr:row>25</xdr:row>
      <xdr:rowOff>38100</xdr:rowOff>
    </xdr:to>
    <xdr:sp macro="" textlink="pivots!D4">
      <xdr:nvSpPr>
        <xdr:cNvPr id="17" name="Rectangle 16">
          <a:extLst>
            <a:ext uri="{FF2B5EF4-FFF2-40B4-BE49-F238E27FC236}">
              <a16:creationId xmlns:a16="http://schemas.microsoft.com/office/drawing/2014/main" id="{598BA7C7-44D3-4D06-A12E-577A5E799106}"/>
            </a:ext>
          </a:extLst>
        </xdr:cNvPr>
        <xdr:cNvSpPr/>
      </xdr:nvSpPr>
      <xdr:spPr>
        <a:xfrm>
          <a:off x="114300" y="3810000"/>
          <a:ext cx="1289050" cy="831850"/>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6D0862-863C-4B81-AE70-32A567E059BC}" type="TxLink">
            <a:rPr lang="en-US" sz="2800" b="0" i="0" u="none" strike="noStrike">
              <a:solidFill>
                <a:schemeClr val="bg1"/>
              </a:solidFill>
              <a:latin typeface="+mj-lt"/>
              <a:ea typeface="+mn-ea"/>
              <a:cs typeface="+mn-cs"/>
            </a:rPr>
            <a:pPr marL="0" indent="0" algn="ctr"/>
            <a:t>3.9</a:t>
          </a:fld>
          <a:endParaRPr lang="en-IN" sz="2800" b="0" i="0" u="none" strike="noStrike">
            <a:solidFill>
              <a:schemeClr val="bg1"/>
            </a:solidFill>
            <a:latin typeface="+mj-lt"/>
            <a:ea typeface="+mn-ea"/>
            <a:cs typeface="+mn-cs"/>
          </a:endParaRPr>
        </a:p>
      </xdr:txBody>
    </xdr:sp>
    <xdr:clientData/>
  </xdr:twoCellAnchor>
  <xdr:oneCellAnchor>
    <xdr:from>
      <xdr:col>2</xdr:col>
      <xdr:colOff>495300</xdr:colOff>
      <xdr:row>24</xdr:row>
      <xdr:rowOff>158750</xdr:rowOff>
    </xdr:from>
    <xdr:ext cx="184731" cy="264560"/>
    <xdr:sp macro="" textlink="">
      <xdr:nvSpPr>
        <xdr:cNvPr id="18" name="TextBox 17">
          <a:extLst>
            <a:ext uri="{FF2B5EF4-FFF2-40B4-BE49-F238E27FC236}">
              <a16:creationId xmlns:a16="http://schemas.microsoft.com/office/drawing/2014/main" id="{8B16909E-2B7F-46F7-ADEE-AF610AB8A311}"/>
            </a:ext>
          </a:extLst>
        </xdr:cNvPr>
        <xdr:cNvSpPr txBox="1"/>
      </xdr:nvSpPr>
      <xdr:spPr>
        <a:xfrm>
          <a:off x="749300" y="4578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57150</xdr:colOff>
      <xdr:row>21</xdr:row>
      <xdr:rowOff>6350</xdr:rowOff>
    </xdr:from>
    <xdr:to>
      <xdr:col>3</xdr:col>
      <xdr:colOff>311150</xdr:colOff>
      <xdr:row>22</xdr:row>
      <xdr:rowOff>6350</xdr:rowOff>
    </xdr:to>
    <xdr:sp macro="" textlink="">
      <xdr:nvSpPr>
        <xdr:cNvPr id="19" name="TextBox 18">
          <a:extLst>
            <a:ext uri="{FF2B5EF4-FFF2-40B4-BE49-F238E27FC236}">
              <a16:creationId xmlns:a16="http://schemas.microsoft.com/office/drawing/2014/main" id="{CA43B2EB-778F-4BAA-9D56-314EE301A278}"/>
            </a:ext>
          </a:extLst>
        </xdr:cNvPr>
        <xdr:cNvSpPr txBox="1"/>
      </xdr:nvSpPr>
      <xdr:spPr>
        <a:xfrm>
          <a:off x="311150" y="3873500"/>
          <a:ext cx="9144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lumMod val="85000"/>
                </a:schemeClr>
              </a:solidFill>
              <a:latin typeface="+mj-lt"/>
            </a:rPr>
            <a:t>Avg.Rating</a:t>
          </a:r>
        </a:p>
      </xdr:txBody>
    </xdr:sp>
    <xdr:clientData/>
  </xdr:twoCellAnchor>
  <xdr:twoCellAnchor editAs="oneCell">
    <xdr:from>
      <xdr:col>0</xdr:col>
      <xdr:colOff>120076</xdr:colOff>
      <xdr:row>20</xdr:row>
      <xdr:rowOff>146049</xdr:rowOff>
    </xdr:from>
    <xdr:to>
      <xdr:col>2</xdr:col>
      <xdr:colOff>140271</xdr:colOff>
      <xdr:row>22</xdr:row>
      <xdr:rowOff>43396</xdr:rowOff>
    </xdr:to>
    <xdr:pic>
      <xdr:nvPicPr>
        <xdr:cNvPr id="20" name="Graphic 19">
          <a:extLst>
            <a:ext uri="{FF2B5EF4-FFF2-40B4-BE49-F238E27FC236}">
              <a16:creationId xmlns:a16="http://schemas.microsoft.com/office/drawing/2014/main" id="{BA7C3430-3491-4964-9D33-148A1AA7154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120076" y="3809511"/>
          <a:ext cx="276637" cy="272241"/>
        </a:xfrm>
        <a:prstGeom prst="rect">
          <a:avLst/>
        </a:prstGeom>
      </xdr:spPr>
    </xdr:pic>
    <xdr:clientData/>
  </xdr:twoCellAnchor>
  <xdr:twoCellAnchor>
    <xdr:from>
      <xdr:col>2</xdr:col>
      <xdr:colOff>107950</xdr:colOff>
      <xdr:row>24</xdr:row>
      <xdr:rowOff>25400</xdr:rowOff>
    </xdr:from>
    <xdr:to>
      <xdr:col>3</xdr:col>
      <xdr:colOff>228600</xdr:colOff>
      <xdr:row>25</xdr:row>
      <xdr:rowOff>6350</xdr:rowOff>
    </xdr:to>
    <xdr:sp macro="" textlink="pivots!D14">
      <xdr:nvSpPr>
        <xdr:cNvPr id="21" name="TextBox 20">
          <a:extLst>
            <a:ext uri="{FF2B5EF4-FFF2-40B4-BE49-F238E27FC236}">
              <a16:creationId xmlns:a16="http://schemas.microsoft.com/office/drawing/2014/main" id="{85645453-FBF3-474D-84DC-696FEEAAF34C}"/>
            </a:ext>
          </a:extLst>
        </xdr:cNvPr>
        <xdr:cNvSpPr txBox="1"/>
      </xdr:nvSpPr>
      <xdr:spPr>
        <a:xfrm>
          <a:off x="361950" y="4445000"/>
          <a:ext cx="781050" cy="1651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4D63F1-BB27-4677-A409-2C888EF15750}" type="TxLink">
            <a:rPr lang="en-US" sz="1100" b="0" i="0" u="none" strike="noStrike">
              <a:solidFill>
                <a:schemeClr val="bg1"/>
              </a:solidFill>
              <a:latin typeface="Aptos"/>
            </a:rPr>
            <a:pPr algn="ctr"/>
            <a:t>3.9</a:t>
          </a:fld>
          <a:endParaRPr lang="en-IN" sz="1200">
            <a:solidFill>
              <a:schemeClr val="bg1"/>
            </a:solidFill>
            <a:latin typeface="+mj-lt"/>
          </a:endParaRPr>
        </a:p>
      </xdr:txBody>
    </xdr:sp>
    <xdr:clientData/>
  </xdr:twoCellAnchor>
  <xdr:twoCellAnchor>
    <xdr:from>
      <xdr:col>0</xdr:col>
      <xdr:colOff>107950</xdr:colOff>
      <xdr:row>26</xdr:row>
      <xdr:rowOff>44450</xdr:rowOff>
    </xdr:from>
    <xdr:to>
      <xdr:col>3</xdr:col>
      <xdr:colOff>482600</xdr:colOff>
      <xdr:row>30</xdr:row>
      <xdr:rowOff>139700</xdr:rowOff>
    </xdr:to>
    <xdr:sp macro="" textlink="pivots!E4">
      <xdr:nvSpPr>
        <xdr:cNvPr id="22" name="Rectangle 21">
          <a:extLst>
            <a:ext uri="{FF2B5EF4-FFF2-40B4-BE49-F238E27FC236}">
              <a16:creationId xmlns:a16="http://schemas.microsoft.com/office/drawing/2014/main" id="{8A0E2569-6EE3-498A-BDF8-2EFA74BCE11C}"/>
            </a:ext>
          </a:extLst>
        </xdr:cNvPr>
        <xdr:cNvSpPr/>
      </xdr:nvSpPr>
      <xdr:spPr>
        <a:xfrm>
          <a:off x="107950" y="4832350"/>
          <a:ext cx="1289050" cy="831850"/>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A4166F0C-5507-4DD9-8CC4-BEDAAAB4C65C}" type="TxLink">
            <a:rPr lang="en-US" sz="2800" b="0" i="0" u="none" strike="noStrike">
              <a:solidFill>
                <a:schemeClr val="bg1"/>
              </a:solidFill>
              <a:latin typeface="+mj-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307</a:t>
          </a:fld>
          <a:endParaRPr lang="en-IN" sz="2800" b="0" i="0" u="none" strike="noStrike">
            <a:solidFill>
              <a:schemeClr val="bg1"/>
            </a:solidFill>
            <a:latin typeface="+mj-lt"/>
            <a:ea typeface="+mn-ea"/>
            <a:cs typeface="+mn-cs"/>
          </a:endParaRPr>
        </a:p>
      </xdr:txBody>
    </xdr:sp>
    <xdr:clientData/>
  </xdr:twoCellAnchor>
  <xdr:oneCellAnchor>
    <xdr:from>
      <xdr:col>2</xdr:col>
      <xdr:colOff>495300</xdr:colOff>
      <xdr:row>30</xdr:row>
      <xdr:rowOff>158750</xdr:rowOff>
    </xdr:from>
    <xdr:ext cx="184731" cy="264560"/>
    <xdr:sp macro="" textlink="">
      <xdr:nvSpPr>
        <xdr:cNvPr id="23" name="TextBox 22">
          <a:extLst>
            <a:ext uri="{FF2B5EF4-FFF2-40B4-BE49-F238E27FC236}">
              <a16:creationId xmlns:a16="http://schemas.microsoft.com/office/drawing/2014/main" id="{9604B2F6-16C1-436B-B08D-68EC882817B9}"/>
            </a:ext>
          </a:extLst>
        </xdr:cNvPr>
        <xdr:cNvSpPr txBox="1"/>
      </xdr:nvSpPr>
      <xdr:spPr>
        <a:xfrm>
          <a:off x="749300" y="568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57150</xdr:colOff>
      <xdr:row>29</xdr:row>
      <xdr:rowOff>152400</xdr:rowOff>
    </xdr:from>
    <xdr:to>
      <xdr:col>3</xdr:col>
      <xdr:colOff>412750</xdr:colOff>
      <xdr:row>30</xdr:row>
      <xdr:rowOff>158750</xdr:rowOff>
    </xdr:to>
    <xdr:sp macro="" textlink="">
      <xdr:nvSpPr>
        <xdr:cNvPr id="24" name="TextBox 23">
          <a:extLst>
            <a:ext uri="{FF2B5EF4-FFF2-40B4-BE49-F238E27FC236}">
              <a16:creationId xmlns:a16="http://schemas.microsoft.com/office/drawing/2014/main" id="{2707E56A-8F35-42B8-94A8-436530C65A0D}"/>
            </a:ext>
          </a:extLst>
        </xdr:cNvPr>
        <xdr:cNvSpPr txBox="1"/>
      </xdr:nvSpPr>
      <xdr:spPr>
        <a:xfrm>
          <a:off x="311150" y="5492750"/>
          <a:ext cx="1016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bg1">
                <a:lumMod val="85000"/>
              </a:schemeClr>
            </a:solidFill>
            <a:latin typeface="+mj-lt"/>
          </a:endParaRPr>
        </a:p>
      </xdr:txBody>
    </xdr:sp>
    <xdr:clientData/>
  </xdr:twoCellAnchor>
  <xdr:twoCellAnchor editAs="oneCell">
    <xdr:from>
      <xdr:col>1</xdr:col>
      <xdr:colOff>9196</xdr:colOff>
      <xdr:row>26</xdr:row>
      <xdr:rowOff>52998</xdr:rowOff>
    </xdr:from>
    <xdr:to>
      <xdr:col>2</xdr:col>
      <xdr:colOff>157612</xdr:colOff>
      <xdr:row>27</xdr:row>
      <xdr:rowOff>133517</xdr:rowOff>
    </xdr:to>
    <xdr:pic>
      <xdr:nvPicPr>
        <xdr:cNvPr id="25" name="Graphic 24">
          <a:extLst>
            <a:ext uri="{FF2B5EF4-FFF2-40B4-BE49-F238E27FC236}">
              <a16:creationId xmlns:a16="http://schemas.microsoft.com/office/drawing/2014/main" id="{D0706E20-A66C-4B68-A0EF-41BE1F875F8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rot="21442455">
          <a:off x="137417" y="4815498"/>
          <a:ext cx="276637" cy="272241"/>
        </a:xfrm>
        <a:prstGeom prst="rect">
          <a:avLst/>
        </a:prstGeom>
      </xdr:spPr>
    </xdr:pic>
    <xdr:clientData/>
  </xdr:twoCellAnchor>
  <xdr:twoCellAnchor>
    <xdr:from>
      <xdr:col>2</xdr:col>
      <xdr:colOff>120650</xdr:colOff>
      <xdr:row>29</xdr:row>
      <xdr:rowOff>133350</xdr:rowOff>
    </xdr:from>
    <xdr:to>
      <xdr:col>3</xdr:col>
      <xdr:colOff>241300</xdr:colOff>
      <xdr:row>30</xdr:row>
      <xdr:rowOff>114300</xdr:rowOff>
    </xdr:to>
    <xdr:sp macro="" textlink="pivots!E14">
      <xdr:nvSpPr>
        <xdr:cNvPr id="26" name="TextBox 25">
          <a:extLst>
            <a:ext uri="{FF2B5EF4-FFF2-40B4-BE49-F238E27FC236}">
              <a16:creationId xmlns:a16="http://schemas.microsoft.com/office/drawing/2014/main" id="{5FD6D8DD-4CD6-4C34-B180-C7D2B2D3B524}"/>
            </a:ext>
          </a:extLst>
        </xdr:cNvPr>
        <xdr:cNvSpPr txBox="1"/>
      </xdr:nvSpPr>
      <xdr:spPr>
        <a:xfrm>
          <a:off x="374650" y="5473700"/>
          <a:ext cx="781050" cy="1651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24B26E-9E9F-4941-8E62-1DF8C0E51AEF}" type="TxLink">
            <a:rPr lang="en-US" sz="1100" b="0" i="0" u="none" strike="noStrike">
              <a:solidFill>
                <a:schemeClr val="bg1"/>
              </a:solidFill>
              <a:latin typeface="Aptos"/>
            </a:rPr>
            <a:pPr algn="ctr"/>
            <a:t>51</a:t>
          </a:fld>
          <a:endParaRPr lang="en-IN" sz="1200">
            <a:solidFill>
              <a:schemeClr val="bg1"/>
            </a:solidFill>
            <a:latin typeface="+mj-lt"/>
          </a:endParaRPr>
        </a:p>
      </xdr:txBody>
    </xdr:sp>
    <xdr:clientData/>
  </xdr:twoCellAnchor>
  <xdr:oneCellAnchor>
    <xdr:from>
      <xdr:col>2</xdr:col>
      <xdr:colOff>63499</xdr:colOff>
      <xdr:row>26</xdr:row>
      <xdr:rowOff>6350</xdr:rowOff>
    </xdr:from>
    <xdr:ext cx="1041645" cy="366101"/>
    <xdr:sp macro="" textlink="">
      <xdr:nvSpPr>
        <xdr:cNvPr id="27" name="TextBox 26">
          <a:extLst>
            <a:ext uri="{FF2B5EF4-FFF2-40B4-BE49-F238E27FC236}">
              <a16:creationId xmlns:a16="http://schemas.microsoft.com/office/drawing/2014/main" id="{4D459C48-E973-0A3F-51A0-F563B944B6D2}"/>
            </a:ext>
          </a:extLst>
        </xdr:cNvPr>
        <xdr:cNvSpPr txBox="1"/>
      </xdr:nvSpPr>
      <xdr:spPr>
        <a:xfrm>
          <a:off x="319941" y="4768850"/>
          <a:ext cx="1041645" cy="3661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000">
              <a:solidFill>
                <a:schemeClr val="bg1">
                  <a:lumMod val="95000"/>
                </a:schemeClr>
              </a:solidFill>
              <a:latin typeface="+mj-lt"/>
            </a:rPr>
            <a:t>Happy callers</a:t>
          </a:r>
        </a:p>
      </xdr:txBody>
    </xdr:sp>
    <xdr:clientData/>
  </xdr:oneCellAnchor>
  <xdr:twoCellAnchor>
    <xdr:from>
      <xdr:col>3</xdr:col>
      <xdr:colOff>586153</xdr:colOff>
      <xdr:row>4</xdr:row>
      <xdr:rowOff>39077</xdr:rowOff>
    </xdr:from>
    <xdr:to>
      <xdr:col>10</xdr:col>
      <xdr:colOff>557188</xdr:colOff>
      <xdr:row>18</xdr:row>
      <xdr:rowOff>127104</xdr:rowOff>
    </xdr:to>
    <xdr:graphicFrame macro="">
      <xdr:nvGraphicFramePr>
        <xdr:cNvPr id="30" name="Chart 29">
          <a:extLst>
            <a:ext uri="{FF2B5EF4-FFF2-40B4-BE49-F238E27FC236}">
              <a16:creationId xmlns:a16="http://schemas.microsoft.com/office/drawing/2014/main" id="{843F1F6E-88F9-4B5A-B556-58D0DDAF8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605694</xdr:colOff>
      <xdr:row>19</xdr:row>
      <xdr:rowOff>107463</xdr:rowOff>
    </xdr:from>
    <xdr:to>
      <xdr:col>9</xdr:col>
      <xdr:colOff>566615</xdr:colOff>
      <xdr:row>34</xdr:row>
      <xdr:rowOff>127000</xdr:rowOff>
    </xdr:to>
    <xdr:graphicFrame macro="">
      <xdr:nvGraphicFramePr>
        <xdr:cNvPr id="34" name="Chart 33">
          <a:extLst>
            <a:ext uri="{FF2B5EF4-FFF2-40B4-BE49-F238E27FC236}">
              <a16:creationId xmlns:a16="http://schemas.microsoft.com/office/drawing/2014/main" id="{7905B4C4-193E-4451-88EC-2BC52E3CB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380998</xdr:colOff>
      <xdr:row>19</xdr:row>
      <xdr:rowOff>87923</xdr:rowOff>
    </xdr:from>
    <xdr:to>
      <xdr:col>14</xdr:col>
      <xdr:colOff>263769</xdr:colOff>
      <xdr:row>34</xdr:row>
      <xdr:rowOff>156308</xdr:rowOff>
    </xdr:to>
    <xdr:graphicFrame macro="">
      <xdr:nvGraphicFramePr>
        <xdr:cNvPr id="35" name="Chart 34">
          <a:extLst>
            <a:ext uri="{FF2B5EF4-FFF2-40B4-BE49-F238E27FC236}">
              <a16:creationId xmlns:a16="http://schemas.microsoft.com/office/drawing/2014/main" id="{9EB339B9-298C-45EB-898C-FEEFE0179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635000</xdr:colOff>
      <xdr:row>4</xdr:row>
      <xdr:rowOff>48846</xdr:rowOff>
    </xdr:from>
    <xdr:to>
      <xdr:col>19</xdr:col>
      <xdr:colOff>322384</xdr:colOff>
      <xdr:row>17</xdr:row>
      <xdr:rowOff>9769</xdr:rowOff>
    </xdr:to>
    <xdr:graphicFrame macro="">
      <xdr:nvGraphicFramePr>
        <xdr:cNvPr id="37" name="Chart 36">
          <a:extLst>
            <a:ext uri="{FF2B5EF4-FFF2-40B4-BE49-F238E27FC236}">
              <a16:creationId xmlns:a16="http://schemas.microsoft.com/office/drawing/2014/main" id="{BAF550FC-6688-434A-A09F-DBBBF5E02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3663</xdr:colOff>
      <xdr:row>19</xdr:row>
      <xdr:rowOff>31751</xdr:rowOff>
    </xdr:from>
    <xdr:to>
      <xdr:col>22</xdr:col>
      <xdr:colOff>602029</xdr:colOff>
      <xdr:row>30</xdr:row>
      <xdr:rowOff>173404</xdr:rowOff>
    </xdr:to>
    <xdr:graphicFrame macro="">
      <xdr:nvGraphicFramePr>
        <xdr:cNvPr id="38" name="Chart 37">
          <a:extLst>
            <a:ext uri="{FF2B5EF4-FFF2-40B4-BE49-F238E27FC236}">
              <a16:creationId xmlns:a16="http://schemas.microsoft.com/office/drawing/2014/main" id="{65B40B03-7613-44B4-9C22-78E9B12A9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721337499999" backgroundQuery="1" createdVersion="8" refreshedVersion="8" minRefreshableVersion="3" recordCount="0" supportSubquery="1" supportAdvancedDrill="1" xr:uid="{0C32E61E-2973-4BCF-BB64-B9BE2A79C524}">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721350347223" backgroundQuery="1" createdVersion="8" refreshedVersion="8" minRefreshableVersion="3" recordCount="0" supportSubquery="1" supportAdvancedDrill="1" xr:uid="{4EE35726-22D8-41FC-B531-7B14D026353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721351736109" backgroundQuery="1" createdVersion="8" refreshedVersion="8" minRefreshableVersion="3" recordCount="0" supportSubquery="1" supportAdvancedDrill="1" xr:uid="{0A0F25EB-71EB-4E30-91B9-C60619D7FD6C}">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753117939814" backgroundQuery="1" createdVersion="8" refreshedVersion="8" minRefreshableVersion="3" recordCount="0" supportSubquery="1" supportAdvancedDrill="1" xr:uid="{58A0F69C-D148-40B2-869E-237256281032}">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868219097225" backgroundQuery="1" createdVersion="8" refreshedVersion="8" minRefreshableVersion="3" recordCount="0" supportSubquery="1" supportAdvancedDrill="1" xr:uid="{48CB44B0-3612-49C0-A0AA-7441C6123CF2}">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868219791664" backgroundQuery="1" createdVersion="8" refreshedVersion="8" minRefreshableVersion="3" recordCount="0" supportSubquery="1" supportAdvancedDrill="1" xr:uid="{D097D1A1-A3CF-4A2B-8085-7B6D47C34802}">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1-31T00:00:0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868220138887" backgroundQuery="1" createdVersion="8" refreshedVersion="8" minRefreshableVersion="3" recordCount="0" supportSubquery="1" supportAdvancedDrill="1" xr:uid="{32E306A0-460A-4ABC-9E0A-7F947430C58D}">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868220486111" backgroundQuery="1" createdVersion="8" refreshedVersion="8" minRefreshableVersion="3" recordCount="0" supportSubquery="1" supportAdvancedDrill="1" xr:uid="{B9C065D8-6089-43FB-AB29-007F989D6914}">
  <cacheSource type="external" connectionId="1"/>
  <cacheFields count="1">
    <cacheField name="[calls].[Representative].[Representative]" caption="Representative" numFmtId="0" hierarchy="3" level="1">
      <sharedItems count="1">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868221180557" backgroundQuery="1" createdVersion="8" refreshedVersion="8" minRefreshableVersion="3" recordCount="0" supportSubquery="1" supportAdvancedDrill="1" xr:uid="{33F9EFCF-BA08-4B9B-A53D-CE5F91FC2537}">
  <cacheSource type="external" connectionId="1"/>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refreshedDate="46119.721338657408" backgroundQuery="1" createdVersion="3" refreshedVersion="8" minRefreshableVersion="3" recordCount="0" supportSubquery="1" supportAdvancedDrill="1" xr:uid="{83CE9CA4-23F9-43E0-A08B-17FD4586698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86509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1A16F-7E02-4E9A-AE7E-3C3235BF5BA8}" name="PivotTable7" cacheId="0" applyNumberFormats="0" applyBorderFormats="0" applyFontFormats="0" applyPatternFormats="0" applyAlignmentFormats="0" applyWidthHeightFormats="1" dataCaption="Values" tag="245e0934-eeb8-4fa2-a5e3-7b7ee867a030" updatedVersion="8" minRefreshableVersion="3" useAutoFormatting="1" itemPrintTitles="1" createdVersion="8" indent="0" outline="1" outlineData="1" multipleFieldFilters="0" chartFormat="7">
  <location ref="G68:J7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6">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3">
          <reference field="4294967294" count="1" selected="0">
            <x v="0"/>
          </reference>
          <reference field="0" count="1" selected="0">
            <x v="0"/>
          </reference>
          <reference field="1" count="1" selected="0">
            <x v="0"/>
          </reference>
        </references>
      </pivotArea>
    </chartFormat>
    <chartFormat chart="6" format="7">
      <pivotArea type="data" outline="0" fieldPosition="0">
        <references count="3">
          <reference field="4294967294" count="1" selected="0">
            <x v="0"/>
          </reference>
          <reference field="0" count="1" selected="0">
            <x v="0"/>
          </reference>
          <reference field="1" count="1" selected="0">
            <x v="1"/>
          </reference>
        </references>
      </pivotArea>
    </chartFormat>
    <chartFormat chart="6" format="8">
      <pivotArea type="data" outline="0" fieldPosition="0">
        <references count="3">
          <reference field="4294967294" count="1" selected="0">
            <x v="0"/>
          </reference>
          <reference field="0" count="1" selected="0">
            <x v="2"/>
          </reference>
          <reference field="1" count="1" selected="0">
            <x v="1"/>
          </reference>
        </references>
      </pivotArea>
    </chartFormat>
    <chartFormat chart="6" format="9">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DA331C-276C-41E9-978B-4D99602282F0}" name="weekday trend" cacheId="6" applyNumberFormats="0" applyBorderFormats="0" applyFontFormats="0" applyPatternFormats="0" applyAlignmentFormats="0" applyWidthHeightFormats="1" dataCaption="Values" tag="8e681559-3706-462d-b44e-b50629a53659" updatedVersion="8" minRefreshableVersion="3" useAutoFormatting="1" subtotalHiddenItems="1" itemPrintTitles="1" createdVersion="8" indent="0" outline="1" outlineData="1" multipleFieldFilters="0" chartFormat="16">
  <location ref="H24:I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002195-C00D-47BF-BE9A-F5F0748EB579}" name="rep pivot" cacheId="4" applyNumberFormats="0" applyBorderFormats="0" applyFontFormats="0" applyPatternFormats="0" applyAlignmentFormats="0" applyWidthHeightFormats="1" dataCaption="Values" tag="65b8c9b7-22a9-42a4-98a1-435ccb97c7e5" updatedVersion="8" minRefreshableVersion="3" useAutoFormatting="1" subtotalHiddenItems="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7"/>
    <dataField fld="2" subtotal="count" baseField="0" baseItem="0"/>
    <dataField fld="3" subtotal="count" baseField="0" baseItem="0"/>
    <dataField fld="4" subtotal="count" baseField="0" baseItem="0"/>
  </dataFields>
  <formats count="1">
    <format dxfId="14">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B58751-6808-49C9-88AA-BDB2AE1A1536}" name="monthly trend" cacheId="5" applyNumberFormats="0" applyBorderFormats="0" applyFontFormats="0" applyPatternFormats="0" applyAlignmentFormats="0" applyWidthHeightFormats="1" dataCaption="Values" tag="d65ff244-aa1f-487c-9337-b29cf108d634" updatedVersion="8" minRefreshableVersion="3" useAutoFormatting="1" subtotalHiddenItems="1" itemPrintTitles="1" createdVersion="8" indent="0" outline="1" outlineData="1" multipleFieldFilters="0" chartFormat="12">
  <location ref="A23:C3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all count2" fld="3" subtotal="count" baseField="0" baseItem="0">
      <extLst>
        <ext xmlns:x14="http://schemas.microsoft.com/office/spreadsheetml/2009/9/main" uri="{E15A36E0-9728-4e99-A89B-3F7291B0FE68}">
          <x14:dataField sourceField="3" uniqueName="[__Xl2].[Measures].[call count]"/>
        </ext>
      </extLst>
    </dataField>
    <dataField fld="4" subtotal="count" baseField="0" baseItem="0">
      <extLst>
        <ext xmlns:x14="http://schemas.microsoft.com/office/spreadsheetml/2009/9/main" uri="{E15A36E0-9728-4e99-A89B-3F7291B0FE68}">
          <x14:dataField sourceField="3"/>
        </ext>
      </extLst>
    </dataField>
  </dataFields>
  <chartFormats count="2">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C213FE-FC70-4296-8104-9D81B1960F4C}" name="selected rep pivot" cacheId="7" applyNumberFormats="0" applyBorderFormats="0" applyFontFormats="0" applyPatternFormats="0" applyAlignmentFormats="0" applyWidthHeightFormats="1" dataCaption="Values" tag="d33d20ef-d2da-46e2-81b8-d00279a3171f" updatedVersion="8" minRefreshableVersion="3" useAutoFormatting="1" subtotalHiddenItems="1" rowGrandTotals="0" itemPrintTitles="1" createdVersion="8" indent="0" outline="1" outlineData="1" multipleFieldFilters="0">
  <location ref="G55:G5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6">
      <pivotArea dataOnly="0" labelOnly="1" fieldPosition="0">
        <references count="1">
          <reference field="0" count="0"/>
        </references>
      </pivotArea>
    </format>
    <format dxfId="15">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07A903-1608-4D19-A4EA-938AF12AE925}" name="Summary pivot" cacheId="2" applyNumberFormats="0" applyBorderFormats="0" applyFontFormats="0" applyPatternFormats="0" applyAlignmentFormats="0" applyWidthHeightFormats="1" dataCaption="Values" tag="10d276c6-ff82-4c6a-a7a2-4c2723161dcb"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6"/>
    <dataField fld="2" subtotal="count" baseField="0" baseItem="0"/>
    <dataField fld="3" subtotal="count" baseField="0" baseItem="0"/>
    <dataField fld="4" subtotal="count" baseField="0" baseItem="0"/>
  </dataFields>
  <formats count="1">
    <format dxfId="17">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C9DE58-D9C3-4509-A2B8-C73A59FAA729}" name="reps pivot" cacheId="1" applyNumberFormats="0" applyBorderFormats="0" applyFontFormats="0" applyPatternFormats="0" applyAlignmentFormats="0" applyWidthHeightFormats="1" dataCaption="Values" tag="ae8cb382-a506-4a2f-b418-dbf7b77c31d4" updatedVersion="8" minRefreshableVersion="3" useAutoFormatting="1" itemPrintTitles="1" createdVersion="8" indent="0" outline="1" outlineData="1" multipleFieldFilters="0">
  <location ref="A50:C5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numFmtId="166"/>
  </dataFields>
  <formats count="1">
    <format dxfId="18">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957DB0-66F1-458F-B430-E6538C422274}" name="rep amount" cacheId="3" applyNumberFormats="0" applyBorderFormats="0" applyFontFormats="0" applyPatternFormats="0" applyAlignmentFormats="0" applyWidthHeightFormats="1" dataCaption="Values" tag="5f166fe8-0ced-4fff-aff5-911253e80536" updatedVersion="8" minRefreshableVersion="3" useAutoFormatting="1" subtotalHiddenItems="1" rowGrandTotals="0" itemPrintTitles="1" createdVersion="8" indent="0" outline="1" outlineData="1" multipleFieldFilters="0" chartFormat="13">
  <location ref="C109:I12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FBF7AD-395C-4E45-B433-379B65DE9433}" name="rep satification" cacheId="8" applyNumberFormats="0" applyBorderFormats="0" applyFontFormats="0" applyPatternFormats="0" applyAlignmentFormats="0" applyWidthHeightFormats="1" dataCaption="Values" tag="5f423ec8-ff12-4c0d-b97a-5bfa54cc954c" updatedVersion="8" minRefreshableVersion="3" useAutoFormatting="1" subtotalHiddenItems="1" itemPrintTitles="1" createdVersion="8" indent="0" outline="1" outlineData="1" multipleFieldFilters="0" chartFormat="13">
  <location ref="C85:D9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55B91F4-F447-460E-8199-C6C93EE41FAF}" sourceName="[calls].[Representative]">
  <pivotTables>
    <pivotTable tabId="6" name="rep pivot"/>
    <pivotTable tabId="6" name="monthly trend"/>
    <pivotTable tabId="6" name="weekday trend"/>
    <pivotTable tabId="6" name="selected rep pivot"/>
    <pivotTable tabId="6" name="rep satification"/>
  </pivotTables>
  <data>
    <olap pivotCacheId="153865098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991B048-1ACF-4B5D-A649-F66D4CC4F88D}" cache="Slicer_Representative" caption="Representative" level="1"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C01C-2179-4B9D-A8D9-309226DE5BCA}">
  <dimension ref="A3:P128"/>
  <sheetViews>
    <sheetView topLeftCell="C101" zoomScale="75" zoomScaleNormal="75" workbookViewId="0">
      <selection activeCell="G119" sqref="G119"/>
    </sheetView>
  </sheetViews>
  <sheetFormatPr defaultRowHeight="14.5" x14ac:dyDescent="0.35"/>
  <cols>
    <col min="1" max="1" width="13.5" bestFit="1" customWidth="1"/>
    <col min="2" max="2" width="10.4140625" bestFit="1" customWidth="1"/>
    <col min="3" max="3" width="13.5" bestFit="1" customWidth="1"/>
    <col min="4" max="4" width="9.4140625" bestFit="1" customWidth="1"/>
    <col min="5" max="5" width="7.33203125" bestFit="1" customWidth="1"/>
    <col min="6" max="6" width="6.83203125" bestFit="1" customWidth="1"/>
    <col min="7" max="8" width="13.5" bestFit="1" customWidth="1"/>
    <col min="9" max="9" width="9.4140625" bestFit="1" customWidth="1"/>
    <col min="10" max="10" width="10.75" bestFit="1" customWidth="1"/>
    <col min="11" max="11" width="10.08203125" bestFit="1" customWidth="1"/>
  </cols>
  <sheetData>
    <row r="3" spans="1:5" x14ac:dyDescent="0.35">
      <c r="A3" t="s">
        <v>1042</v>
      </c>
      <c r="B3" t="s">
        <v>1043</v>
      </c>
      <c r="C3" t="s">
        <v>1044</v>
      </c>
      <c r="D3" t="s">
        <v>1045</v>
      </c>
      <c r="E3" t="s">
        <v>1046</v>
      </c>
    </row>
    <row r="4" spans="1:5" x14ac:dyDescent="0.35">
      <c r="A4" s="22">
        <v>1000</v>
      </c>
      <c r="B4" s="24">
        <v>96623</v>
      </c>
      <c r="C4" s="22">
        <v>89850</v>
      </c>
      <c r="D4" s="26">
        <v>3.8854000000000033</v>
      </c>
      <c r="E4" s="22">
        <v>307</v>
      </c>
    </row>
    <row r="13" spans="1:5" x14ac:dyDescent="0.35">
      <c r="A13" t="s">
        <v>1042</v>
      </c>
      <c r="B13" t="s">
        <v>1043</v>
      </c>
      <c r="C13" t="s">
        <v>1044</v>
      </c>
      <c r="D13" t="s">
        <v>1045</v>
      </c>
      <c r="E13" t="s">
        <v>1046</v>
      </c>
    </row>
    <row r="14" spans="1:5" x14ac:dyDescent="0.35">
      <c r="A14" s="22">
        <v>200</v>
      </c>
      <c r="B14" s="25">
        <v>20104</v>
      </c>
      <c r="C14" s="22">
        <v>18209</v>
      </c>
      <c r="D14" s="26">
        <v>3.8824999999999998</v>
      </c>
      <c r="E14" s="22">
        <v>51</v>
      </c>
    </row>
    <row r="23" spans="1:9" x14ac:dyDescent="0.35">
      <c r="A23" s="27" t="s">
        <v>1047</v>
      </c>
      <c r="B23" t="s">
        <v>1061</v>
      </c>
      <c r="C23" t="s">
        <v>1042</v>
      </c>
    </row>
    <row r="24" spans="1:9" x14ac:dyDescent="0.35">
      <c r="A24" s="28" t="s">
        <v>1049</v>
      </c>
      <c r="B24" s="22">
        <v>21</v>
      </c>
      <c r="C24" s="22">
        <v>21</v>
      </c>
      <c r="H24" s="27" t="s">
        <v>1047</v>
      </c>
      <c r="I24" t="s">
        <v>1042</v>
      </c>
    </row>
    <row r="25" spans="1:9" x14ac:dyDescent="0.35">
      <c r="A25" s="28" t="s">
        <v>1050</v>
      </c>
      <c r="B25" s="22">
        <v>18</v>
      </c>
      <c r="C25" s="22">
        <v>18</v>
      </c>
      <c r="H25" s="28" t="s">
        <v>1065</v>
      </c>
      <c r="I25" s="22">
        <v>27</v>
      </c>
    </row>
    <row r="26" spans="1:9" x14ac:dyDescent="0.35">
      <c r="A26" s="28" t="s">
        <v>1051</v>
      </c>
      <c r="B26" s="22">
        <v>31</v>
      </c>
      <c r="C26" s="22">
        <v>31</v>
      </c>
      <c r="H26" s="28" t="s">
        <v>1063</v>
      </c>
      <c r="I26" s="22">
        <v>22</v>
      </c>
    </row>
    <row r="27" spans="1:9" x14ac:dyDescent="0.35">
      <c r="A27" s="28" t="s">
        <v>1052</v>
      </c>
      <c r="B27" s="22">
        <v>20</v>
      </c>
      <c r="C27" s="22">
        <v>20</v>
      </c>
      <c r="H27" s="28" t="s">
        <v>1067</v>
      </c>
      <c r="I27" s="22">
        <v>27</v>
      </c>
    </row>
    <row r="28" spans="1:9" x14ac:dyDescent="0.35">
      <c r="A28" s="28" t="s">
        <v>1053</v>
      </c>
      <c r="B28" s="22">
        <v>8</v>
      </c>
      <c r="C28" s="22">
        <v>8</v>
      </c>
      <c r="H28" s="28" t="s">
        <v>1068</v>
      </c>
      <c r="I28" s="22">
        <v>27</v>
      </c>
    </row>
    <row r="29" spans="1:9" x14ac:dyDescent="0.35">
      <c r="A29" s="28" t="s">
        <v>1054</v>
      </c>
      <c r="B29" s="22">
        <v>12</v>
      </c>
      <c r="C29" s="22">
        <v>12</v>
      </c>
      <c r="H29" s="28" t="s">
        <v>1066</v>
      </c>
      <c r="I29" s="22">
        <v>27</v>
      </c>
    </row>
    <row r="30" spans="1:9" x14ac:dyDescent="0.35">
      <c r="A30" s="28" t="s">
        <v>1055</v>
      </c>
      <c r="B30" s="22">
        <v>12</v>
      </c>
      <c r="C30" s="22">
        <v>12</v>
      </c>
      <c r="H30" s="28" t="s">
        <v>1062</v>
      </c>
      <c r="I30" s="22">
        <v>32</v>
      </c>
    </row>
    <row r="31" spans="1:9" x14ac:dyDescent="0.35">
      <c r="A31" s="28" t="s">
        <v>1056</v>
      </c>
      <c r="B31" s="22">
        <v>7</v>
      </c>
      <c r="C31" s="22">
        <v>7</v>
      </c>
      <c r="H31" s="28" t="s">
        <v>1064</v>
      </c>
      <c r="I31" s="22">
        <v>38</v>
      </c>
    </row>
    <row r="32" spans="1:9" x14ac:dyDescent="0.35">
      <c r="A32" s="28" t="s">
        <v>1057</v>
      </c>
      <c r="B32" s="22">
        <v>20</v>
      </c>
      <c r="C32" s="22">
        <v>20</v>
      </c>
      <c r="H32" s="28" t="s">
        <v>1048</v>
      </c>
      <c r="I32" s="22">
        <v>200</v>
      </c>
    </row>
    <row r="33" spans="1:11" x14ac:dyDescent="0.35">
      <c r="A33" s="28" t="s">
        <v>1058</v>
      </c>
      <c r="B33" s="22">
        <v>24</v>
      </c>
      <c r="C33" s="22">
        <v>24</v>
      </c>
    </row>
    <row r="34" spans="1:11" x14ac:dyDescent="0.35">
      <c r="A34" s="28" t="s">
        <v>1059</v>
      </c>
      <c r="B34" s="22">
        <v>12</v>
      </c>
      <c r="C34" s="22">
        <v>12</v>
      </c>
    </row>
    <row r="35" spans="1:11" x14ac:dyDescent="0.35">
      <c r="A35" s="28" t="s">
        <v>1060</v>
      </c>
      <c r="B35" s="22">
        <v>15</v>
      </c>
      <c r="C35" s="22">
        <v>15</v>
      </c>
    </row>
    <row r="36" spans="1:11" x14ac:dyDescent="0.35">
      <c r="A36" s="28" t="s">
        <v>1048</v>
      </c>
      <c r="B36" s="22">
        <v>200</v>
      </c>
      <c r="C36" s="22">
        <v>200</v>
      </c>
    </row>
    <row r="44" spans="1:11" x14ac:dyDescent="0.35">
      <c r="G44" t="s">
        <v>1069</v>
      </c>
      <c r="J44" t="s">
        <v>1074</v>
      </c>
      <c r="K44" t="str">
        <f>G56</f>
        <v>R05</v>
      </c>
    </row>
    <row r="47" spans="1:11" x14ac:dyDescent="0.35">
      <c r="G47" t="s">
        <v>1070</v>
      </c>
      <c r="H47" t="s">
        <v>1071</v>
      </c>
      <c r="I47" t="s">
        <v>1072</v>
      </c>
      <c r="J47" t="s">
        <v>1075</v>
      </c>
      <c r="K47" t="s">
        <v>1073</v>
      </c>
    </row>
    <row r="48" spans="1:11" x14ac:dyDescent="0.35">
      <c r="G48" t="str" cm="1">
        <f t="array" ref="G48:I52">A51:C55</f>
        <v>R01</v>
      </c>
      <c r="H48">
        <v>189</v>
      </c>
      <c r="I48" s="29">
        <v>18415</v>
      </c>
      <c r="J48" t="e">
        <f>IF(G48=$K$44,H48,NA())</f>
        <v>#N/A</v>
      </c>
      <c r="K48" t="e">
        <f>IF(G48=$K$44,I48,NA())</f>
        <v>#N/A</v>
      </c>
    </row>
    <row r="49" spans="1:16" x14ac:dyDescent="0.35">
      <c r="G49" t="str">
        <v>R02</v>
      </c>
      <c r="H49">
        <v>218</v>
      </c>
      <c r="I49" s="29">
        <v>20581</v>
      </c>
      <c r="J49" t="e">
        <f t="shared" ref="J49:J52" si="0">IF(G49=$K$44,H49,NA())</f>
        <v>#N/A</v>
      </c>
      <c r="K49" t="e">
        <f t="shared" ref="K49:K52" si="1">IF(G49=$K$44,I49,NA())</f>
        <v>#N/A</v>
      </c>
    </row>
    <row r="50" spans="1:16" x14ac:dyDescent="0.35">
      <c r="A50" s="27" t="s">
        <v>1047</v>
      </c>
      <c r="B50" t="s">
        <v>1042</v>
      </c>
      <c r="C50" t="s">
        <v>1043</v>
      </c>
      <c r="G50" t="str">
        <v>R03</v>
      </c>
      <c r="H50">
        <v>207</v>
      </c>
      <c r="I50" s="29">
        <v>20872</v>
      </c>
      <c r="J50" t="e">
        <f t="shared" si="0"/>
        <v>#N/A</v>
      </c>
      <c r="K50" t="e">
        <f t="shared" si="1"/>
        <v>#N/A</v>
      </c>
    </row>
    <row r="51" spans="1:16" x14ac:dyDescent="0.35">
      <c r="A51" s="28" t="s">
        <v>11</v>
      </c>
      <c r="B51" s="22">
        <v>189</v>
      </c>
      <c r="C51" s="24">
        <v>18415</v>
      </c>
      <c r="G51" t="str">
        <v>R04</v>
      </c>
      <c r="H51">
        <v>186</v>
      </c>
      <c r="I51" s="29">
        <v>16651</v>
      </c>
      <c r="J51" t="e">
        <f t="shared" si="0"/>
        <v>#N/A</v>
      </c>
      <c r="K51" t="e">
        <f t="shared" si="1"/>
        <v>#N/A</v>
      </c>
      <c r="P51" s="14"/>
    </row>
    <row r="52" spans="1:16" x14ac:dyDescent="0.35">
      <c r="A52" s="28" t="s">
        <v>9</v>
      </c>
      <c r="B52" s="22">
        <v>218</v>
      </c>
      <c r="C52" s="24">
        <v>20581</v>
      </c>
      <c r="G52" t="str">
        <v>R05</v>
      </c>
      <c r="H52">
        <v>200</v>
      </c>
      <c r="I52" s="29">
        <v>20104</v>
      </c>
      <c r="J52">
        <f t="shared" si="0"/>
        <v>200</v>
      </c>
      <c r="K52">
        <f t="shared" si="1"/>
        <v>20104</v>
      </c>
    </row>
    <row r="53" spans="1:16" x14ac:dyDescent="0.35">
      <c r="A53" s="28" t="s">
        <v>6</v>
      </c>
      <c r="B53" s="22">
        <v>207</v>
      </c>
      <c r="C53" s="24">
        <v>20872</v>
      </c>
    </row>
    <row r="54" spans="1:16" x14ac:dyDescent="0.35">
      <c r="A54" s="28" t="s">
        <v>13</v>
      </c>
      <c r="B54" s="22">
        <v>186</v>
      </c>
      <c r="C54" s="24">
        <v>16651</v>
      </c>
    </row>
    <row r="55" spans="1:16" x14ac:dyDescent="0.35">
      <c r="A55" s="28" t="s">
        <v>10</v>
      </c>
      <c r="B55" s="22">
        <v>200</v>
      </c>
      <c r="C55" s="24">
        <v>20104</v>
      </c>
      <c r="G55" s="27" t="s">
        <v>1047</v>
      </c>
    </row>
    <row r="56" spans="1:16" x14ac:dyDescent="0.35">
      <c r="A56" s="28" t="s">
        <v>1048</v>
      </c>
      <c r="B56" s="22">
        <v>1000</v>
      </c>
      <c r="C56" s="24">
        <v>96623</v>
      </c>
      <c r="G56" s="31" t="s">
        <v>10</v>
      </c>
    </row>
    <row r="68" spans="7:10" x14ac:dyDescent="0.35">
      <c r="G68" s="27" t="s">
        <v>1042</v>
      </c>
      <c r="H68" s="27" t="s">
        <v>1076</v>
      </c>
    </row>
    <row r="69" spans="7:10" x14ac:dyDescent="0.35">
      <c r="G69" s="27" t="s">
        <v>1047</v>
      </c>
      <c r="H69" t="s">
        <v>999</v>
      </c>
      <c r="I69" t="s">
        <v>998</v>
      </c>
      <c r="J69" t="s">
        <v>1048</v>
      </c>
    </row>
    <row r="70" spans="7:10" x14ac:dyDescent="0.35">
      <c r="G70" s="28" t="s">
        <v>1002</v>
      </c>
      <c r="H70" s="22">
        <v>144</v>
      </c>
      <c r="I70" s="22">
        <v>132</v>
      </c>
      <c r="J70" s="22">
        <v>276</v>
      </c>
    </row>
    <row r="71" spans="7:10" x14ac:dyDescent="0.35">
      <c r="G71" s="28" t="s">
        <v>1001</v>
      </c>
      <c r="H71" s="22">
        <v>326</v>
      </c>
      <c r="I71" s="22">
        <v>63</v>
      </c>
      <c r="J71" s="22">
        <v>389</v>
      </c>
    </row>
    <row r="72" spans="7:10" x14ac:dyDescent="0.35">
      <c r="G72" s="28" t="s">
        <v>1000</v>
      </c>
      <c r="H72" s="22">
        <v>129</v>
      </c>
      <c r="I72" s="22">
        <v>206</v>
      </c>
      <c r="J72" s="22">
        <v>335</v>
      </c>
    </row>
    <row r="73" spans="7:10" x14ac:dyDescent="0.35">
      <c r="G73" s="28" t="s">
        <v>1048</v>
      </c>
      <c r="H73" s="22">
        <v>599</v>
      </c>
      <c r="I73" s="22">
        <v>401</v>
      </c>
      <c r="J73" s="22">
        <v>1000</v>
      </c>
    </row>
    <row r="85" spans="3:4" x14ac:dyDescent="0.35">
      <c r="C85" s="27" t="s">
        <v>1047</v>
      </c>
      <c r="D85" t="s">
        <v>1042</v>
      </c>
    </row>
    <row r="86" spans="3:4" x14ac:dyDescent="0.35">
      <c r="C86" s="28">
        <v>2</v>
      </c>
      <c r="D86" s="22">
        <v>10</v>
      </c>
    </row>
    <row r="87" spans="3:4" x14ac:dyDescent="0.35">
      <c r="C87" s="28">
        <v>3</v>
      </c>
      <c r="D87" s="22">
        <v>44</v>
      </c>
    </row>
    <row r="88" spans="3:4" x14ac:dyDescent="0.35">
      <c r="C88" s="28">
        <v>4</v>
      </c>
      <c r="D88" s="22">
        <v>95</v>
      </c>
    </row>
    <row r="89" spans="3:4" x14ac:dyDescent="0.35">
      <c r="C89" s="28">
        <v>5</v>
      </c>
      <c r="D89" s="22">
        <v>51</v>
      </c>
    </row>
    <row r="90" spans="3:4" x14ac:dyDescent="0.35">
      <c r="C90" s="28" t="s">
        <v>1048</v>
      </c>
      <c r="D90" s="22">
        <v>200</v>
      </c>
    </row>
    <row r="109" spans="3:9" x14ac:dyDescent="0.35">
      <c r="C109" s="27" t="s">
        <v>1043</v>
      </c>
      <c r="D109" s="27" t="s">
        <v>1076</v>
      </c>
    </row>
    <row r="110" spans="3:9" x14ac:dyDescent="0.35">
      <c r="C110" s="27" t="s">
        <v>1047</v>
      </c>
      <c r="D110" t="s">
        <v>11</v>
      </c>
      <c r="E110" t="s">
        <v>9</v>
      </c>
      <c r="F110" t="s">
        <v>6</v>
      </c>
      <c r="G110" t="s">
        <v>13</v>
      </c>
      <c r="H110" t="s">
        <v>10</v>
      </c>
      <c r="I110" t="s">
        <v>1048</v>
      </c>
    </row>
    <row r="111" spans="3:9" x14ac:dyDescent="0.35">
      <c r="C111" s="28" t="s">
        <v>1002</v>
      </c>
    </row>
    <row r="112" spans="3:9" x14ac:dyDescent="0.35">
      <c r="C112" s="30" t="s">
        <v>20</v>
      </c>
      <c r="D112" s="23">
        <v>891</v>
      </c>
      <c r="E112" s="23">
        <v>1332</v>
      </c>
      <c r="F112" s="23">
        <v>1282</v>
      </c>
      <c r="G112" s="23">
        <v>739</v>
      </c>
      <c r="H112" s="23">
        <v>560</v>
      </c>
      <c r="I112" s="23">
        <v>4804</v>
      </c>
    </row>
    <row r="113" spans="3:9" x14ac:dyDescent="0.35">
      <c r="C113" s="30" t="s">
        <v>12</v>
      </c>
      <c r="D113" s="23">
        <v>1991</v>
      </c>
      <c r="E113" s="23">
        <v>1886</v>
      </c>
      <c r="F113" s="23">
        <v>1206</v>
      </c>
      <c r="G113" s="23">
        <v>884</v>
      </c>
      <c r="H113" s="23">
        <v>1722</v>
      </c>
      <c r="I113" s="23">
        <v>7689</v>
      </c>
    </row>
    <row r="114" spans="3:9" x14ac:dyDescent="0.35">
      <c r="C114" s="30" t="s">
        <v>8</v>
      </c>
      <c r="D114" s="23">
        <v>1163</v>
      </c>
      <c r="E114" s="23">
        <v>1180</v>
      </c>
      <c r="F114" s="23">
        <v>1616</v>
      </c>
      <c r="G114" s="23">
        <v>1043</v>
      </c>
      <c r="H114" s="23">
        <v>1747</v>
      </c>
      <c r="I114" s="23">
        <v>6749</v>
      </c>
    </row>
    <row r="115" spans="3:9" x14ac:dyDescent="0.35">
      <c r="C115" s="30" t="s">
        <v>16</v>
      </c>
      <c r="D115" s="23">
        <v>1438</v>
      </c>
      <c r="E115" s="23">
        <v>1616</v>
      </c>
      <c r="F115" s="23">
        <v>866</v>
      </c>
      <c r="G115" s="23">
        <v>829</v>
      </c>
      <c r="H115" s="23">
        <v>2070</v>
      </c>
      <c r="I115" s="23">
        <v>6819</v>
      </c>
    </row>
    <row r="116" spans="3:9" x14ac:dyDescent="0.35">
      <c r="C116" s="28" t="s">
        <v>1001</v>
      </c>
    </row>
    <row r="117" spans="3:9" x14ac:dyDescent="0.35">
      <c r="C117" s="30" t="s">
        <v>24</v>
      </c>
      <c r="D117" s="23">
        <v>1233</v>
      </c>
      <c r="E117" s="23">
        <v>223</v>
      </c>
      <c r="F117" s="23">
        <v>1680</v>
      </c>
      <c r="G117" s="23">
        <v>990</v>
      </c>
      <c r="H117" s="23">
        <v>1508</v>
      </c>
      <c r="I117" s="23">
        <v>5634</v>
      </c>
    </row>
    <row r="118" spans="3:9" x14ac:dyDescent="0.35">
      <c r="C118" s="30" t="s">
        <v>15</v>
      </c>
      <c r="D118" s="23">
        <v>1598</v>
      </c>
      <c r="E118" s="23">
        <v>1907</v>
      </c>
      <c r="F118" s="23">
        <v>869</v>
      </c>
      <c r="G118" s="23">
        <v>1426</v>
      </c>
      <c r="H118" s="23">
        <v>1416</v>
      </c>
      <c r="I118" s="23">
        <v>7216</v>
      </c>
    </row>
    <row r="119" spans="3:9" x14ac:dyDescent="0.35">
      <c r="C119" s="30" t="s">
        <v>5</v>
      </c>
      <c r="D119" s="23">
        <v>900</v>
      </c>
      <c r="E119" s="23">
        <v>1016</v>
      </c>
      <c r="F119" s="23">
        <v>960</v>
      </c>
      <c r="G119" s="23">
        <v>940</v>
      </c>
      <c r="H119" s="23">
        <v>1193</v>
      </c>
      <c r="I119" s="23">
        <v>5009</v>
      </c>
    </row>
    <row r="120" spans="3:9" x14ac:dyDescent="0.35">
      <c r="C120" s="30" t="s">
        <v>18</v>
      </c>
      <c r="D120" s="23">
        <v>900</v>
      </c>
      <c r="E120" s="23">
        <v>1470</v>
      </c>
      <c r="F120" s="23">
        <v>1617</v>
      </c>
      <c r="G120" s="23">
        <v>1314</v>
      </c>
      <c r="H120" s="23">
        <v>941</v>
      </c>
      <c r="I120" s="23">
        <v>6242</v>
      </c>
    </row>
    <row r="121" spans="3:9" x14ac:dyDescent="0.35">
      <c r="C121" s="30" t="s">
        <v>14</v>
      </c>
      <c r="D121" s="23">
        <v>1255</v>
      </c>
      <c r="E121" s="23">
        <v>516</v>
      </c>
      <c r="F121" s="23">
        <v>1874</v>
      </c>
      <c r="G121" s="23">
        <v>1863</v>
      </c>
      <c r="H121" s="23">
        <v>1722</v>
      </c>
      <c r="I121" s="23">
        <v>7230</v>
      </c>
    </row>
    <row r="122" spans="3:9" x14ac:dyDescent="0.35">
      <c r="C122" s="30" t="s">
        <v>19</v>
      </c>
      <c r="D122" s="23">
        <v>1138</v>
      </c>
      <c r="E122" s="23">
        <v>1898</v>
      </c>
      <c r="F122" s="23">
        <v>1482</v>
      </c>
      <c r="G122" s="23">
        <v>846</v>
      </c>
      <c r="H122" s="23">
        <v>1154</v>
      </c>
      <c r="I122" s="23">
        <v>6518</v>
      </c>
    </row>
    <row r="123" spans="3:9" x14ac:dyDescent="0.35">
      <c r="C123" s="28" t="s">
        <v>1000</v>
      </c>
    </row>
    <row r="124" spans="3:9" x14ac:dyDescent="0.35">
      <c r="C124" s="30" t="s">
        <v>17</v>
      </c>
      <c r="D124" s="23">
        <v>1655</v>
      </c>
      <c r="E124" s="23">
        <v>805</v>
      </c>
      <c r="F124" s="23">
        <v>2263</v>
      </c>
      <c r="G124" s="23">
        <v>987</v>
      </c>
      <c r="H124" s="23">
        <v>1075</v>
      </c>
      <c r="I124" s="23">
        <v>6785</v>
      </c>
    </row>
    <row r="125" spans="3:9" x14ac:dyDescent="0.35">
      <c r="C125" s="30" t="s">
        <v>23</v>
      </c>
      <c r="D125" s="23">
        <v>1104</v>
      </c>
      <c r="E125" s="23">
        <v>2280</v>
      </c>
      <c r="F125" s="23">
        <v>1445</v>
      </c>
      <c r="G125" s="23">
        <v>1722</v>
      </c>
      <c r="H125" s="23">
        <v>1196</v>
      </c>
      <c r="I125" s="23">
        <v>7747</v>
      </c>
    </row>
    <row r="126" spans="3:9" x14ac:dyDescent="0.35">
      <c r="C126" s="30" t="s">
        <v>7</v>
      </c>
      <c r="D126" s="23">
        <v>372</v>
      </c>
      <c r="E126" s="23">
        <v>1818</v>
      </c>
      <c r="F126" s="23">
        <v>1346</v>
      </c>
      <c r="G126" s="23">
        <v>1156</v>
      </c>
      <c r="H126" s="23">
        <v>1484</v>
      </c>
      <c r="I126" s="23">
        <v>6176</v>
      </c>
    </row>
    <row r="127" spans="3:9" x14ac:dyDescent="0.35">
      <c r="C127" s="30" t="s">
        <v>22</v>
      </c>
      <c r="D127" s="23">
        <v>1415</v>
      </c>
      <c r="E127" s="23">
        <v>1271</v>
      </c>
      <c r="F127" s="23">
        <v>1214</v>
      </c>
      <c r="G127" s="23">
        <v>1135</v>
      </c>
      <c r="H127" s="23">
        <v>1566</v>
      </c>
      <c r="I127" s="23">
        <v>6601</v>
      </c>
    </row>
    <row r="128" spans="3:9" x14ac:dyDescent="0.35">
      <c r="C128" s="30" t="s">
        <v>21</v>
      </c>
      <c r="D128" s="23">
        <v>1362</v>
      </c>
      <c r="E128" s="23">
        <v>1363</v>
      </c>
      <c r="F128" s="23">
        <v>1152</v>
      </c>
      <c r="G128" s="23">
        <v>777</v>
      </c>
      <c r="H128" s="23">
        <v>750</v>
      </c>
      <c r="I128" s="23">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3" zoomScale="72" zoomScaleNormal="115" workbookViewId="0">
      <selection activeCell="E7" sqref="E7"/>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E18A-20BE-41D3-94A9-98AADE078320}">
  <dimension ref="A1:AT62"/>
  <sheetViews>
    <sheetView showGridLines="0" tabSelected="1" zoomScale="47" zoomScaleNormal="40" workbookViewId="0">
      <selection activeCell="AA16" sqref="AA16"/>
    </sheetView>
  </sheetViews>
  <sheetFormatPr defaultRowHeight="14.5" x14ac:dyDescent="0.35"/>
  <cols>
    <col min="1" max="2" width="1.6640625" customWidth="1"/>
  </cols>
  <sheetData>
    <row r="1" spans="1:46" x14ac:dyDescent="0.35">
      <c r="A1" s="20"/>
      <c r="B1" s="20"/>
      <c r="C1" s="20"/>
      <c r="D1" s="20"/>
      <c r="E1" s="21"/>
      <c r="F1" s="21"/>
      <c r="G1" s="21"/>
      <c r="H1" s="21"/>
      <c r="I1" s="21"/>
      <c r="J1" s="21"/>
      <c r="K1" s="21"/>
      <c r="L1" s="21"/>
      <c r="M1" s="21"/>
      <c r="N1" s="21"/>
      <c r="O1" s="21"/>
      <c r="P1" s="21"/>
      <c r="Q1" s="21"/>
      <c r="R1" s="21"/>
      <c r="S1" s="21"/>
      <c r="T1" s="21"/>
      <c r="U1" s="21"/>
      <c r="V1" s="21"/>
      <c r="W1" s="21"/>
      <c r="X1" s="21"/>
      <c r="Y1" s="21"/>
      <c r="Z1" s="21"/>
      <c r="AA1" s="21"/>
      <c r="AB1" s="21"/>
      <c r="AC1" s="20"/>
      <c r="AD1" s="20"/>
      <c r="AE1" s="20"/>
      <c r="AF1" s="20"/>
      <c r="AG1" s="20"/>
      <c r="AH1" s="20"/>
      <c r="AI1" s="20"/>
      <c r="AJ1" s="20"/>
      <c r="AK1" s="20"/>
      <c r="AL1" s="20"/>
      <c r="AM1" s="20"/>
      <c r="AN1" s="20"/>
      <c r="AO1" s="20"/>
      <c r="AP1" s="20"/>
      <c r="AQ1" s="20"/>
      <c r="AR1" s="20"/>
      <c r="AS1" s="20"/>
      <c r="AT1" s="20"/>
    </row>
    <row r="2" spans="1:46" x14ac:dyDescent="0.35">
      <c r="A2" s="20"/>
      <c r="B2" s="32" t="s">
        <v>1077</v>
      </c>
      <c r="C2" s="33"/>
      <c r="D2" s="33"/>
      <c r="E2" s="33"/>
      <c r="F2" s="33"/>
      <c r="G2" s="33"/>
      <c r="H2" s="33"/>
      <c r="I2" s="33"/>
      <c r="J2" s="33"/>
      <c r="K2" s="33"/>
      <c r="L2" s="33"/>
      <c r="M2" s="33"/>
      <c r="N2" s="33"/>
      <c r="O2" s="33"/>
      <c r="P2" s="33"/>
      <c r="Q2" s="33"/>
      <c r="R2" s="33"/>
      <c r="S2" s="33"/>
      <c r="T2" s="33"/>
      <c r="U2" s="21"/>
      <c r="V2" s="21"/>
      <c r="W2" s="21"/>
      <c r="X2" s="21"/>
      <c r="Y2" s="21"/>
      <c r="Z2" s="21"/>
      <c r="AA2" s="21"/>
      <c r="AB2" s="21"/>
      <c r="AC2" s="20"/>
      <c r="AD2" s="20"/>
      <c r="AE2" s="20"/>
      <c r="AF2" s="20"/>
      <c r="AG2" s="20"/>
      <c r="AH2" s="20"/>
      <c r="AI2" s="20"/>
      <c r="AJ2" s="20"/>
      <c r="AK2" s="20"/>
      <c r="AL2" s="20"/>
      <c r="AM2" s="20"/>
      <c r="AN2" s="20"/>
      <c r="AO2" s="20"/>
      <c r="AP2" s="20"/>
      <c r="AQ2" s="20"/>
      <c r="AR2" s="20"/>
      <c r="AS2" s="20"/>
      <c r="AT2" s="20"/>
    </row>
    <row r="3" spans="1:46" x14ac:dyDescent="0.35">
      <c r="A3" s="20"/>
      <c r="B3" s="33"/>
      <c r="C3" s="33"/>
      <c r="D3" s="33"/>
      <c r="E3" s="33"/>
      <c r="F3" s="33"/>
      <c r="G3" s="33"/>
      <c r="H3" s="33"/>
      <c r="I3" s="33"/>
      <c r="J3" s="33"/>
      <c r="K3" s="33"/>
      <c r="L3" s="33"/>
      <c r="M3" s="33"/>
      <c r="N3" s="33"/>
      <c r="O3" s="33"/>
      <c r="P3" s="33"/>
      <c r="Q3" s="33"/>
      <c r="R3" s="33"/>
      <c r="S3" s="33"/>
      <c r="T3" s="33"/>
      <c r="U3" s="21"/>
      <c r="V3" s="21"/>
      <c r="W3" s="21"/>
      <c r="X3" s="21"/>
      <c r="Y3" s="21"/>
      <c r="Z3" s="21"/>
      <c r="AA3" s="21"/>
      <c r="AB3" s="21"/>
      <c r="AC3" s="20"/>
      <c r="AD3" s="20"/>
      <c r="AE3" s="20"/>
      <c r="AF3" s="20"/>
      <c r="AG3" s="20"/>
      <c r="AH3" s="20"/>
      <c r="AI3" s="20"/>
      <c r="AJ3" s="20"/>
      <c r="AK3" s="20"/>
      <c r="AL3" s="20"/>
      <c r="AM3" s="20"/>
      <c r="AN3" s="20"/>
      <c r="AO3" s="20"/>
      <c r="AP3" s="20"/>
      <c r="AQ3" s="20"/>
      <c r="AR3" s="20"/>
      <c r="AS3" s="20"/>
      <c r="AT3" s="20"/>
    </row>
    <row r="4" spans="1:46" x14ac:dyDescent="0.35">
      <c r="A4" s="20"/>
      <c r="B4" s="33"/>
      <c r="C4" s="33"/>
      <c r="D4" s="33"/>
      <c r="E4" s="33"/>
      <c r="F4" s="33"/>
      <c r="G4" s="33"/>
      <c r="H4" s="33"/>
      <c r="I4" s="33"/>
      <c r="J4" s="33"/>
      <c r="K4" s="33"/>
      <c r="L4" s="33"/>
      <c r="M4" s="33"/>
      <c r="N4" s="33"/>
      <c r="O4" s="33"/>
      <c r="P4" s="33"/>
      <c r="Q4" s="33"/>
      <c r="R4" s="33"/>
      <c r="S4" s="33"/>
      <c r="T4" s="33"/>
      <c r="U4" s="21"/>
      <c r="V4" s="21"/>
      <c r="W4" s="21"/>
      <c r="X4" s="21"/>
      <c r="Y4" s="21"/>
      <c r="Z4" s="21"/>
      <c r="AA4" s="21"/>
      <c r="AB4" s="21"/>
      <c r="AC4" s="20"/>
      <c r="AD4" s="20"/>
      <c r="AE4" s="20"/>
      <c r="AF4" s="20"/>
      <c r="AG4" s="20"/>
      <c r="AH4" s="20"/>
      <c r="AI4" s="20"/>
      <c r="AJ4" s="20"/>
      <c r="AK4" s="20"/>
      <c r="AL4" s="20"/>
      <c r="AM4" s="20"/>
      <c r="AN4" s="20"/>
      <c r="AO4" s="20"/>
      <c r="AP4" s="20"/>
      <c r="AQ4" s="20"/>
      <c r="AR4" s="20"/>
      <c r="AS4" s="20"/>
      <c r="AT4" s="20"/>
    </row>
    <row r="5" spans="1:46" x14ac:dyDescent="0.35">
      <c r="A5" s="20"/>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0"/>
      <c r="AD5" s="20"/>
      <c r="AE5" s="20"/>
      <c r="AF5" s="20"/>
      <c r="AG5" s="20"/>
      <c r="AH5" s="20"/>
      <c r="AI5" s="20"/>
      <c r="AJ5" s="20"/>
      <c r="AK5" s="20"/>
      <c r="AL5" s="20"/>
      <c r="AM5" s="20"/>
      <c r="AN5" s="20"/>
      <c r="AO5" s="20"/>
      <c r="AP5" s="20"/>
      <c r="AQ5" s="20"/>
      <c r="AR5" s="20"/>
      <c r="AS5" s="20"/>
      <c r="AT5" s="20"/>
    </row>
    <row r="6" spans="1:46" x14ac:dyDescent="0.35">
      <c r="A6" s="20"/>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0"/>
      <c r="AD6" s="20"/>
      <c r="AE6" s="20"/>
      <c r="AF6" s="20"/>
      <c r="AG6" s="20"/>
      <c r="AH6" s="20"/>
      <c r="AI6" s="20"/>
      <c r="AJ6" s="20"/>
      <c r="AK6" s="20"/>
      <c r="AL6" s="20"/>
      <c r="AM6" s="20"/>
      <c r="AN6" s="20"/>
      <c r="AO6" s="20"/>
      <c r="AP6" s="20"/>
      <c r="AQ6" s="20"/>
      <c r="AR6" s="20"/>
      <c r="AS6" s="20"/>
      <c r="AT6" s="20"/>
    </row>
    <row r="7" spans="1:46" x14ac:dyDescent="0.35">
      <c r="A7" s="20"/>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0"/>
      <c r="AD7" s="20"/>
      <c r="AE7" s="20"/>
      <c r="AF7" s="20"/>
      <c r="AG7" s="20"/>
      <c r="AH7" s="20"/>
      <c r="AI7" s="20"/>
      <c r="AJ7" s="20"/>
      <c r="AK7" s="20"/>
      <c r="AL7" s="20"/>
      <c r="AM7" s="20"/>
      <c r="AN7" s="20"/>
      <c r="AO7" s="20"/>
      <c r="AP7" s="20"/>
      <c r="AQ7" s="20"/>
      <c r="AR7" s="20"/>
      <c r="AS7" s="20"/>
      <c r="AT7" s="20"/>
    </row>
    <row r="8" spans="1:46" x14ac:dyDescent="0.35">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0"/>
      <c r="AD8" s="20"/>
      <c r="AE8" s="20"/>
      <c r="AF8" s="20"/>
      <c r="AG8" s="20"/>
      <c r="AH8" s="20"/>
      <c r="AI8" s="20"/>
      <c r="AJ8" s="20"/>
      <c r="AK8" s="20"/>
      <c r="AL8" s="20"/>
      <c r="AM8" s="20"/>
      <c r="AN8" s="20"/>
      <c r="AO8" s="20"/>
      <c r="AP8" s="20"/>
      <c r="AQ8" s="20"/>
      <c r="AR8" s="20"/>
      <c r="AS8" s="20"/>
      <c r="AT8" s="20"/>
    </row>
    <row r="9" spans="1:46" x14ac:dyDescent="0.35">
      <c r="A9" s="20"/>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0"/>
      <c r="AD9" s="20"/>
      <c r="AE9" s="20"/>
      <c r="AF9" s="20"/>
      <c r="AG9" s="20"/>
      <c r="AH9" s="20"/>
      <c r="AI9" s="20"/>
      <c r="AJ9" s="20"/>
      <c r="AK9" s="20"/>
      <c r="AL9" s="20"/>
      <c r="AM9" s="20"/>
      <c r="AN9" s="20"/>
      <c r="AO9" s="20"/>
      <c r="AP9" s="20"/>
      <c r="AQ9" s="20"/>
      <c r="AR9" s="20"/>
      <c r="AS9" s="20"/>
      <c r="AT9" s="20"/>
    </row>
    <row r="10" spans="1:46" x14ac:dyDescent="0.3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0"/>
      <c r="AD10" s="20"/>
      <c r="AE10" s="20"/>
      <c r="AF10" s="20"/>
      <c r="AG10" s="20"/>
      <c r="AH10" s="20"/>
      <c r="AI10" s="20"/>
      <c r="AJ10" s="20"/>
      <c r="AK10" s="20"/>
      <c r="AL10" s="20"/>
      <c r="AM10" s="20"/>
      <c r="AN10" s="20"/>
      <c r="AO10" s="20"/>
      <c r="AP10" s="20"/>
      <c r="AQ10" s="20"/>
      <c r="AR10" s="20"/>
      <c r="AS10" s="20"/>
      <c r="AT10" s="20"/>
    </row>
    <row r="11" spans="1:46" x14ac:dyDescent="0.3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0"/>
      <c r="AD11" s="20"/>
      <c r="AE11" s="20"/>
      <c r="AF11" s="20"/>
      <c r="AG11" s="20"/>
      <c r="AH11" s="20"/>
      <c r="AI11" s="20"/>
      <c r="AJ11" s="20"/>
      <c r="AK11" s="20"/>
      <c r="AL11" s="20"/>
      <c r="AM11" s="20"/>
      <c r="AN11" s="20"/>
      <c r="AO11" s="20"/>
      <c r="AP11" s="20"/>
      <c r="AQ11" s="20"/>
      <c r="AR11" s="20"/>
      <c r="AS11" s="20"/>
      <c r="AT11" s="20"/>
    </row>
    <row r="12" spans="1:46" x14ac:dyDescent="0.3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0"/>
      <c r="AD12" s="20"/>
      <c r="AE12" s="20"/>
      <c r="AF12" s="20"/>
      <c r="AG12" s="20"/>
      <c r="AH12" s="20"/>
      <c r="AI12" s="20"/>
      <c r="AJ12" s="20"/>
      <c r="AK12" s="20"/>
      <c r="AL12" s="20"/>
      <c r="AM12" s="20"/>
      <c r="AN12" s="20"/>
      <c r="AO12" s="20"/>
      <c r="AP12" s="20"/>
      <c r="AQ12" s="20"/>
      <c r="AR12" s="20"/>
      <c r="AS12" s="20"/>
      <c r="AT12" s="20"/>
    </row>
    <row r="13" spans="1:46" x14ac:dyDescent="0.3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0"/>
      <c r="AD13" s="20"/>
      <c r="AE13" s="20"/>
      <c r="AF13" s="20"/>
      <c r="AG13" s="20"/>
      <c r="AH13" s="20"/>
      <c r="AI13" s="20"/>
      <c r="AJ13" s="20"/>
      <c r="AK13" s="20"/>
      <c r="AL13" s="20"/>
      <c r="AM13" s="20"/>
      <c r="AN13" s="20"/>
      <c r="AO13" s="20"/>
      <c r="AP13" s="20"/>
      <c r="AQ13" s="20"/>
      <c r="AR13" s="20"/>
      <c r="AS13" s="20"/>
      <c r="AT13" s="20"/>
    </row>
    <row r="14" spans="1:46" x14ac:dyDescent="0.3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0"/>
      <c r="AD14" s="20"/>
      <c r="AE14" s="20"/>
      <c r="AF14" s="20"/>
      <c r="AG14" s="20"/>
      <c r="AH14" s="20"/>
      <c r="AI14" s="20"/>
      <c r="AJ14" s="20"/>
      <c r="AK14" s="20"/>
      <c r="AL14" s="20"/>
      <c r="AM14" s="20"/>
      <c r="AN14" s="20"/>
      <c r="AO14" s="20"/>
      <c r="AP14" s="20"/>
      <c r="AQ14" s="20"/>
      <c r="AR14" s="20"/>
      <c r="AS14" s="20"/>
      <c r="AT14" s="20"/>
    </row>
    <row r="15" spans="1:46" x14ac:dyDescent="0.3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0"/>
      <c r="AD15" s="20"/>
      <c r="AE15" s="20"/>
      <c r="AF15" s="20"/>
      <c r="AG15" s="20"/>
      <c r="AH15" s="20"/>
      <c r="AI15" s="20"/>
      <c r="AJ15" s="20"/>
      <c r="AK15" s="20"/>
      <c r="AL15" s="20"/>
      <c r="AM15" s="20"/>
      <c r="AN15" s="20"/>
      <c r="AO15" s="20"/>
      <c r="AP15" s="20"/>
      <c r="AQ15" s="20"/>
      <c r="AR15" s="20"/>
      <c r="AS15" s="20"/>
      <c r="AT15" s="20"/>
    </row>
    <row r="16" spans="1:46" x14ac:dyDescent="0.3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0"/>
      <c r="AD16" s="20"/>
      <c r="AE16" s="20"/>
      <c r="AF16" s="20"/>
      <c r="AG16" s="20"/>
      <c r="AH16" s="20"/>
      <c r="AI16" s="20"/>
      <c r="AJ16" s="20"/>
      <c r="AK16" s="20"/>
      <c r="AL16" s="20"/>
      <c r="AM16" s="20"/>
      <c r="AN16" s="20"/>
      <c r="AO16" s="20"/>
      <c r="AP16" s="20"/>
      <c r="AQ16" s="20"/>
      <c r="AR16" s="20"/>
      <c r="AS16" s="20"/>
      <c r="AT16" s="20"/>
    </row>
    <row r="17" spans="1:46" x14ac:dyDescent="0.3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0"/>
      <c r="AD17" s="20"/>
      <c r="AE17" s="20"/>
      <c r="AF17" s="20"/>
      <c r="AG17" s="20"/>
      <c r="AH17" s="20"/>
      <c r="AI17" s="20"/>
      <c r="AJ17" s="20"/>
      <c r="AK17" s="20"/>
      <c r="AL17" s="20"/>
      <c r="AM17" s="20"/>
      <c r="AN17" s="20"/>
      <c r="AO17" s="20"/>
      <c r="AP17" s="20"/>
      <c r="AQ17" s="20"/>
      <c r="AR17" s="20"/>
      <c r="AS17" s="20"/>
      <c r="AT17" s="20"/>
    </row>
    <row r="18" spans="1:46" x14ac:dyDescent="0.3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0"/>
      <c r="AD18" s="20"/>
      <c r="AE18" s="20"/>
      <c r="AF18" s="20"/>
      <c r="AG18" s="20"/>
      <c r="AH18" s="20"/>
      <c r="AI18" s="20"/>
      <c r="AJ18" s="20"/>
      <c r="AK18" s="20"/>
      <c r="AL18" s="20"/>
      <c r="AM18" s="20"/>
      <c r="AN18" s="20"/>
      <c r="AO18" s="20"/>
      <c r="AP18" s="20"/>
      <c r="AQ18" s="20"/>
      <c r="AR18" s="20"/>
      <c r="AS18" s="20"/>
      <c r="AT18" s="20"/>
    </row>
    <row r="19" spans="1:46" x14ac:dyDescent="0.3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0"/>
      <c r="AD19" s="20"/>
      <c r="AE19" s="20"/>
      <c r="AF19" s="20"/>
      <c r="AG19" s="20"/>
      <c r="AH19" s="20"/>
      <c r="AI19" s="20"/>
      <c r="AJ19" s="20"/>
      <c r="AK19" s="20"/>
      <c r="AL19" s="20"/>
      <c r="AM19" s="20"/>
      <c r="AN19" s="20"/>
      <c r="AO19" s="20"/>
      <c r="AP19" s="20"/>
      <c r="AQ19" s="20"/>
      <c r="AR19" s="20"/>
      <c r="AS19" s="20"/>
      <c r="AT19" s="20"/>
    </row>
    <row r="20" spans="1:46" x14ac:dyDescent="0.35">
      <c r="A20" s="21"/>
      <c r="B20" s="21"/>
      <c r="C20" s="21"/>
      <c r="D20" s="21"/>
      <c r="E20" s="21"/>
      <c r="F20" s="21"/>
      <c r="G20" s="21"/>
      <c r="H20" s="21"/>
      <c r="I20" s="21"/>
      <c r="J20" s="21"/>
      <c r="K20" s="21"/>
      <c r="L20" s="21"/>
      <c r="M20" s="21"/>
      <c r="N20" s="21"/>
      <c r="O20" s="21"/>
      <c r="P20" s="21"/>
      <c r="Q20" s="21"/>
      <c r="R20" s="21"/>
      <c r="AA20" s="21"/>
      <c r="AB20" s="21"/>
      <c r="AC20" s="20"/>
      <c r="AD20" s="20"/>
      <c r="AE20" s="20"/>
      <c r="AF20" s="20"/>
      <c r="AG20" s="20"/>
      <c r="AH20" s="20"/>
      <c r="AI20" s="20"/>
      <c r="AJ20" s="20"/>
      <c r="AK20" s="20"/>
      <c r="AL20" s="20"/>
      <c r="AM20" s="20"/>
      <c r="AN20" s="20"/>
      <c r="AO20" s="20"/>
      <c r="AP20" s="20"/>
      <c r="AQ20" s="20"/>
      <c r="AR20" s="20"/>
      <c r="AS20" s="20"/>
      <c r="AT20" s="20"/>
    </row>
    <row r="21" spans="1:46" x14ac:dyDescent="0.35">
      <c r="A21" s="21"/>
      <c r="B21" s="21"/>
      <c r="C21" s="21"/>
      <c r="D21" s="21"/>
      <c r="E21" s="21"/>
      <c r="F21" s="21"/>
      <c r="G21" s="21"/>
      <c r="H21" s="21"/>
      <c r="I21" s="21"/>
      <c r="J21" s="21"/>
      <c r="K21" s="21"/>
      <c r="L21" s="21"/>
      <c r="M21" s="21"/>
      <c r="N21" s="21"/>
      <c r="O21" s="21"/>
      <c r="P21" s="21"/>
      <c r="Q21" s="21"/>
      <c r="R21" s="21"/>
      <c r="AA21" s="21"/>
      <c r="AB21" s="21"/>
      <c r="AC21" s="20"/>
      <c r="AD21" s="20"/>
      <c r="AE21" s="20"/>
      <c r="AF21" s="20"/>
      <c r="AG21" s="20"/>
      <c r="AH21" s="20"/>
      <c r="AI21" s="20"/>
      <c r="AJ21" s="20"/>
      <c r="AK21" s="20"/>
      <c r="AL21" s="20"/>
      <c r="AM21" s="20"/>
      <c r="AN21" s="20"/>
      <c r="AO21" s="20"/>
      <c r="AP21" s="20"/>
      <c r="AQ21" s="20"/>
      <c r="AR21" s="20"/>
      <c r="AS21" s="20"/>
      <c r="AT21" s="20"/>
    </row>
    <row r="22" spans="1:46" x14ac:dyDescent="0.35">
      <c r="A22" s="21"/>
      <c r="B22" s="21"/>
      <c r="C22" s="21"/>
      <c r="D22" s="21"/>
      <c r="E22" s="21"/>
      <c r="F22" s="21"/>
      <c r="G22" s="21"/>
      <c r="H22" s="21"/>
      <c r="I22" s="21"/>
      <c r="J22" s="21"/>
      <c r="K22" s="21"/>
      <c r="L22" s="21"/>
      <c r="M22" s="21"/>
      <c r="N22" s="21"/>
      <c r="O22" s="21"/>
      <c r="P22" s="21"/>
      <c r="Q22" s="21"/>
      <c r="R22" s="21"/>
      <c r="AA22" s="21"/>
      <c r="AB22" s="21"/>
      <c r="AC22" s="20"/>
      <c r="AD22" s="20"/>
      <c r="AE22" s="20"/>
      <c r="AF22" s="20"/>
      <c r="AG22" s="20"/>
      <c r="AH22" s="20"/>
      <c r="AI22" s="20"/>
      <c r="AJ22" s="20"/>
      <c r="AK22" s="20"/>
      <c r="AL22" s="20"/>
      <c r="AM22" s="20"/>
      <c r="AN22" s="20"/>
      <c r="AO22" s="20"/>
      <c r="AP22" s="20"/>
      <c r="AQ22" s="20"/>
      <c r="AR22" s="20"/>
      <c r="AS22" s="20"/>
      <c r="AT22" s="20"/>
    </row>
    <row r="23" spans="1:46" x14ac:dyDescent="0.35">
      <c r="A23" s="21"/>
      <c r="B23" s="21"/>
      <c r="C23" s="21"/>
      <c r="D23" s="21"/>
      <c r="E23" s="21"/>
      <c r="F23" s="21"/>
      <c r="G23" s="21"/>
      <c r="H23" s="21"/>
      <c r="I23" s="21"/>
      <c r="J23" s="21"/>
      <c r="K23" s="21"/>
      <c r="L23" s="21"/>
      <c r="M23" s="21"/>
      <c r="N23" s="21"/>
      <c r="O23" s="21"/>
      <c r="P23" s="21"/>
      <c r="Q23" s="21"/>
      <c r="R23" s="21"/>
      <c r="AA23" s="21"/>
      <c r="AB23" s="21"/>
      <c r="AC23" s="20"/>
      <c r="AD23" s="20"/>
      <c r="AE23" s="20"/>
      <c r="AF23" s="20"/>
      <c r="AG23" s="20"/>
      <c r="AH23" s="20"/>
      <c r="AI23" s="20"/>
      <c r="AJ23" s="20"/>
      <c r="AK23" s="20"/>
      <c r="AL23" s="20"/>
      <c r="AM23" s="20"/>
      <c r="AN23" s="20"/>
      <c r="AO23" s="20"/>
      <c r="AP23" s="20"/>
      <c r="AQ23" s="20"/>
      <c r="AR23" s="20"/>
      <c r="AS23" s="20"/>
      <c r="AT23" s="20"/>
    </row>
    <row r="24" spans="1:46" x14ac:dyDescent="0.35">
      <c r="A24" s="21"/>
      <c r="B24" s="21"/>
      <c r="C24" s="21"/>
      <c r="D24" s="21"/>
      <c r="E24" s="21"/>
      <c r="F24" s="21"/>
      <c r="G24" s="21"/>
      <c r="H24" s="21"/>
      <c r="I24" s="21"/>
      <c r="J24" s="21"/>
      <c r="K24" s="21"/>
      <c r="L24" s="21"/>
      <c r="M24" s="21"/>
      <c r="N24" s="21"/>
      <c r="O24" s="21"/>
      <c r="P24" s="21"/>
      <c r="Q24" s="21"/>
      <c r="R24" s="21"/>
      <c r="AA24" s="21"/>
      <c r="AB24" s="21"/>
      <c r="AC24" s="20"/>
      <c r="AD24" s="20"/>
      <c r="AE24" s="20"/>
      <c r="AF24" s="20"/>
      <c r="AG24" s="20"/>
      <c r="AH24" s="20"/>
      <c r="AI24" s="20"/>
      <c r="AJ24" s="20"/>
      <c r="AK24" s="20"/>
      <c r="AL24" s="20"/>
      <c r="AM24" s="20"/>
      <c r="AN24" s="20"/>
      <c r="AO24" s="20"/>
      <c r="AP24" s="20"/>
      <c r="AQ24" s="20"/>
      <c r="AR24" s="20"/>
      <c r="AS24" s="20"/>
      <c r="AT24" s="20"/>
    </row>
    <row r="25" spans="1:46" x14ac:dyDescent="0.35">
      <c r="A25" s="21"/>
      <c r="B25" s="21"/>
      <c r="C25" s="21"/>
      <c r="D25" s="21"/>
      <c r="E25" s="21"/>
      <c r="F25" s="21"/>
      <c r="G25" s="21"/>
      <c r="H25" s="21"/>
      <c r="I25" s="21"/>
      <c r="J25" s="21"/>
      <c r="K25" s="21"/>
      <c r="L25" s="21"/>
      <c r="M25" s="21"/>
      <c r="N25" s="21"/>
      <c r="O25" s="21"/>
      <c r="P25" s="21"/>
      <c r="Q25" s="21"/>
      <c r="R25" s="21"/>
      <c r="AA25" s="21"/>
      <c r="AB25" s="21"/>
      <c r="AC25" s="20"/>
      <c r="AD25" s="20"/>
      <c r="AE25" s="20"/>
      <c r="AF25" s="20"/>
      <c r="AG25" s="20"/>
      <c r="AH25" s="20"/>
      <c r="AI25" s="20"/>
      <c r="AJ25" s="20"/>
      <c r="AK25" s="20"/>
      <c r="AL25" s="20"/>
      <c r="AM25" s="20"/>
      <c r="AN25" s="20"/>
      <c r="AO25" s="20"/>
      <c r="AP25" s="20"/>
      <c r="AQ25" s="20"/>
      <c r="AR25" s="20"/>
      <c r="AS25" s="20"/>
      <c r="AT25" s="20"/>
    </row>
    <row r="26" spans="1:46" x14ac:dyDescent="0.35">
      <c r="A26" s="21"/>
      <c r="B26" s="21"/>
      <c r="C26" s="21"/>
      <c r="D26" s="21"/>
      <c r="E26" s="21"/>
      <c r="F26" s="21"/>
      <c r="G26" s="21"/>
      <c r="H26" s="21"/>
      <c r="I26" s="21"/>
      <c r="J26" s="21"/>
      <c r="K26" s="21"/>
      <c r="L26" s="21"/>
      <c r="M26" s="21"/>
      <c r="N26" s="21"/>
      <c r="O26" s="21"/>
      <c r="P26" s="21"/>
      <c r="Q26" s="21"/>
      <c r="R26" s="21"/>
      <c r="AA26" s="21"/>
      <c r="AB26" s="21"/>
      <c r="AC26" s="20"/>
      <c r="AD26" s="20"/>
      <c r="AE26" s="20"/>
      <c r="AF26" s="20"/>
      <c r="AG26" s="20"/>
      <c r="AH26" s="20"/>
      <c r="AI26" s="20"/>
      <c r="AJ26" s="20"/>
      <c r="AK26" s="20"/>
      <c r="AL26" s="20"/>
      <c r="AM26" s="20"/>
      <c r="AN26" s="20"/>
      <c r="AO26" s="20"/>
      <c r="AP26" s="20"/>
      <c r="AQ26" s="20"/>
      <c r="AR26" s="20"/>
      <c r="AS26" s="20"/>
      <c r="AT26" s="20"/>
    </row>
    <row r="27" spans="1:46" x14ac:dyDescent="0.35">
      <c r="A27" s="21"/>
      <c r="B27" s="21"/>
      <c r="C27" s="21"/>
      <c r="D27" s="21"/>
      <c r="E27" s="21"/>
      <c r="F27" s="21"/>
      <c r="G27" s="21"/>
      <c r="H27" s="21"/>
      <c r="I27" s="21"/>
      <c r="J27" s="21"/>
      <c r="K27" s="21"/>
      <c r="L27" s="21"/>
      <c r="M27" s="21"/>
      <c r="N27" s="21"/>
      <c r="O27" s="21"/>
      <c r="P27" s="21"/>
      <c r="Q27" s="21"/>
      <c r="R27" s="21"/>
      <c r="AA27" s="21"/>
      <c r="AB27" s="21"/>
      <c r="AC27" s="20"/>
      <c r="AD27" s="20"/>
      <c r="AE27" s="20"/>
      <c r="AF27" s="20"/>
      <c r="AG27" s="20"/>
      <c r="AH27" s="20"/>
      <c r="AI27" s="20"/>
      <c r="AJ27" s="20"/>
      <c r="AK27" s="20"/>
      <c r="AL27" s="20"/>
      <c r="AM27" s="20"/>
      <c r="AN27" s="20"/>
      <c r="AO27" s="20"/>
      <c r="AP27" s="20"/>
      <c r="AQ27" s="20"/>
      <c r="AR27" s="20"/>
      <c r="AS27" s="20"/>
      <c r="AT27" s="20"/>
    </row>
    <row r="28" spans="1:46" x14ac:dyDescent="0.35">
      <c r="A28" s="21"/>
      <c r="B28" s="21"/>
      <c r="C28" s="21"/>
      <c r="D28" s="21"/>
      <c r="E28" s="21"/>
      <c r="F28" s="21"/>
      <c r="G28" s="21"/>
      <c r="H28" s="21"/>
      <c r="I28" s="21"/>
      <c r="J28" s="21"/>
      <c r="K28" s="21"/>
      <c r="L28" s="21"/>
      <c r="M28" s="21"/>
      <c r="N28" s="21"/>
      <c r="O28" s="21"/>
      <c r="P28" s="21"/>
      <c r="Q28" s="21"/>
      <c r="R28" s="21"/>
      <c r="AA28" s="21"/>
      <c r="AB28" s="21"/>
      <c r="AC28" s="20"/>
      <c r="AD28" s="20"/>
      <c r="AE28" s="20"/>
      <c r="AF28" s="20"/>
      <c r="AG28" s="20"/>
      <c r="AH28" s="20"/>
      <c r="AI28" s="20"/>
      <c r="AJ28" s="20"/>
      <c r="AK28" s="20"/>
      <c r="AL28" s="20"/>
      <c r="AM28" s="20"/>
      <c r="AN28" s="20"/>
      <c r="AO28" s="20"/>
      <c r="AP28" s="20"/>
      <c r="AQ28" s="20"/>
      <c r="AR28" s="20"/>
      <c r="AS28" s="20"/>
      <c r="AT28" s="20"/>
    </row>
    <row r="29" spans="1:46" x14ac:dyDescent="0.35">
      <c r="A29" s="21"/>
      <c r="B29" s="21"/>
      <c r="C29" s="21"/>
      <c r="D29" s="21"/>
      <c r="E29" s="21"/>
      <c r="F29" s="21"/>
      <c r="G29" s="21"/>
      <c r="H29" s="21"/>
      <c r="I29" s="21"/>
      <c r="J29" s="21"/>
      <c r="K29" s="21"/>
      <c r="L29" s="21"/>
      <c r="M29" s="21"/>
      <c r="N29" s="21"/>
      <c r="O29" s="21"/>
      <c r="P29" s="21"/>
      <c r="Q29" s="21"/>
      <c r="R29" s="21"/>
      <c r="AA29" s="21"/>
      <c r="AB29" s="21"/>
      <c r="AC29" s="20"/>
      <c r="AD29" s="20"/>
      <c r="AE29" s="20"/>
      <c r="AF29" s="20"/>
      <c r="AG29" s="20"/>
      <c r="AH29" s="20"/>
      <c r="AI29" s="20"/>
      <c r="AJ29" s="20"/>
      <c r="AK29" s="20"/>
      <c r="AL29" s="20"/>
      <c r="AM29" s="20"/>
      <c r="AN29" s="20"/>
      <c r="AO29" s="20"/>
      <c r="AP29" s="20"/>
      <c r="AQ29" s="20"/>
      <c r="AR29" s="20"/>
      <c r="AS29" s="20"/>
      <c r="AT29" s="20"/>
    </row>
    <row r="30" spans="1:46" x14ac:dyDescent="0.35">
      <c r="A30" s="21"/>
      <c r="B30" s="21"/>
      <c r="C30" s="21"/>
      <c r="D30" s="21"/>
      <c r="E30" s="21"/>
      <c r="F30" s="21"/>
      <c r="G30" s="21"/>
      <c r="H30" s="21"/>
      <c r="I30" s="21"/>
      <c r="J30" s="21"/>
      <c r="K30" s="21"/>
      <c r="L30" s="21"/>
      <c r="M30" s="21"/>
      <c r="N30" s="21"/>
      <c r="O30" s="21"/>
      <c r="P30" s="21"/>
      <c r="Q30" s="21"/>
      <c r="R30" s="21"/>
      <c r="AA30" s="21"/>
      <c r="AB30" s="21"/>
      <c r="AC30" s="20"/>
      <c r="AD30" s="20"/>
      <c r="AE30" s="20"/>
      <c r="AF30" s="20"/>
      <c r="AG30" s="20"/>
      <c r="AH30" s="20"/>
      <c r="AI30" s="20"/>
      <c r="AJ30" s="20"/>
      <c r="AK30" s="20"/>
      <c r="AL30" s="20"/>
      <c r="AM30" s="20"/>
      <c r="AN30" s="20"/>
      <c r="AO30" s="20"/>
      <c r="AP30" s="20"/>
      <c r="AQ30" s="20"/>
      <c r="AR30" s="20"/>
      <c r="AS30" s="20"/>
      <c r="AT30" s="20"/>
    </row>
    <row r="31" spans="1:46" x14ac:dyDescent="0.35">
      <c r="A31" s="21"/>
      <c r="B31" s="21"/>
      <c r="C31" s="21"/>
      <c r="D31" s="21"/>
      <c r="E31" s="21"/>
      <c r="F31" s="21"/>
      <c r="G31" s="21"/>
      <c r="H31" s="21"/>
      <c r="I31" s="21"/>
      <c r="J31" s="21"/>
      <c r="K31" s="21"/>
      <c r="L31" s="21"/>
      <c r="M31" s="21"/>
      <c r="N31" s="21"/>
      <c r="O31" s="21"/>
      <c r="P31" s="21"/>
      <c r="Q31" s="21"/>
      <c r="R31" s="21"/>
      <c r="AA31" s="21"/>
      <c r="AB31" s="21"/>
      <c r="AC31" s="20"/>
      <c r="AD31" s="20"/>
      <c r="AE31" s="20"/>
      <c r="AF31" s="20"/>
      <c r="AG31" s="20"/>
      <c r="AH31" s="20"/>
      <c r="AI31" s="20"/>
      <c r="AJ31" s="20"/>
      <c r="AK31" s="20"/>
      <c r="AL31" s="20"/>
      <c r="AM31" s="20"/>
      <c r="AN31" s="20"/>
      <c r="AO31" s="20"/>
      <c r="AP31" s="20"/>
      <c r="AQ31" s="20"/>
      <c r="AR31" s="20"/>
      <c r="AS31" s="20"/>
      <c r="AT31" s="20"/>
    </row>
    <row r="32" spans="1:46" x14ac:dyDescent="0.35">
      <c r="A32" s="21"/>
      <c r="B32" s="21"/>
      <c r="C32" s="21"/>
      <c r="D32" s="21"/>
      <c r="E32" s="21"/>
      <c r="F32" s="21"/>
      <c r="G32" s="21"/>
      <c r="H32" s="21"/>
      <c r="I32" s="21"/>
      <c r="J32" s="21"/>
      <c r="K32" s="21"/>
      <c r="L32" s="21"/>
      <c r="M32" s="21"/>
      <c r="N32" s="21"/>
      <c r="O32" s="21"/>
      <c r="P32" s="21"/>
      <c r="Q32" s="21"/>
      <c r="R32" s="21"/>
      <c r="AA32" s="21"/>
      <c r="AB32" s="21"/>
      <c r="AC32" s="20"/>
      <c r="AD32" s="20"/>
      <c r="AE32" s="20"/>
      <c r="AF32" s="20"/>
      <c r="AG32" s="20"/>
      <c r="AH32" s="20"/>
      <c r="AI32" s="20"/>
      <c r="AJ32" s="20"/>
      <c r="AK32" s="20"/>
      <c r="AL32" s="20"/>
      <c r="AM32" s="20"/>
      <c r="AN32" s="20"/>
      <c r="AO32" s="20"/>
      <c r="AP32" s="20"/>
      <c r="AQ32" s="20"/>
      <c r="AR32" s="20"/>
      <c r="AS32" s="20"/>
      <c r="AT32" s="20"/>
    </row>
    <row r="33" spans="1:46" x14ac:dyDescent="0.35">
      <c r="A33" s="21"/>
      <c r="B33" s="21"/>
      <c r="C33" s="21"/>
      <c r="D33" s="21"/>
      <c r="E33" s="21"/>
      <c r="F33" s="21"/>
      <c r="G33" s="21"/>
      <c r="H33" s="21"/>
      <c r="I33" s="21"/>
      <c r="J33" s="21"/>
      <c r="K33" s="21"/>
      <c r="L33" s="21"/>
      <c r="M33" s="21"/>
      <c r="N33" s="21"/>
      <c r="O33" s="21"/>
      <c r="P33" s="21"/>
      <c r="Q33" s="21"/>
      <c r="R33" s="21"/>
      <c r="AA33" s="21"/>
      <c r="AB33" s="21"/>
      <c r="AC33" s="20"/>
      <c r="AD33" s="20"/>
      <c r="AE33" s="20"/>
      <c r="AF33" s="20"/>
      <c r="AG33" s="20"/>
      <c r="AH33" s="20"/>
      <c r="AI33" s="20"/>
      <c r="AJ33" s="20"/>
      <c r="AK33" s="20"/>
      <c r="AL33" s="20"/>
      <c r="AM33" s="20"/>
      <c r="AN33" s="20"/>
      <c r="AO33" s="20"/>
      <c r="AP33" s="20"/>
      <c r="AQ33" s="20"/>
      <c r="AR33" s="20"/>
      <c r="AS33" s="20"/>
      <c r="AT33" s="20"/>
    </row>
    <row r="34" spans="1:46" x14ac:dyDescent="0.35">
      <c r="A34" s="21"/>
      <c r="B34" s="21"/>
      <c r="C34" s="21"/>
      <c r="D34" s="21"/>
      <c r="E34" s="21"/>
      <c r="F34" s="21"/>
      <c r="G34" s="21"/>
      <c r="H34" s="21"/>
      <c r="I34" s="21"/>
      <c r="J34" s="21"/>
      <c r="K34" s="21"/>
      <c r="L34" s="21"/>
      <c r="M34" s="21"/>
      <c r="N34" s="21"/>
      <c r="O34" s="21"/>
      <c r="P34" s="21"/>
      <c r="Q34" s="21"/>
      <c r="R34" s="21"/>
      <c r="AA34" s="21"/>
      <c r="AB34" s="21"/>
      <c r="AC34" s="20"/>
      <c r="AD34" s="20"/>
      <c r="AE34" s="20"/>
      <c r="AF34" s="20"/>
      <c r="AG34" s="20"/>
      <c r="AH34" s="20"/>
      <c r="AI34" s="20"/>
      <c r="AJ34" s="20"/>
      <c r="AK34" s="20"/>
      <c r="AL34" s="20"/>
      <c r="AM34" s="20"/>
      <c r="AN34" s="20"/>
      <c r="AO34" s="20"/>
      <c r="AP34" s="20"/>
      <c r="AQ34" s="20"/>
      <c r="AR34" s="20"/>
      <c r="AS34" s="20"/>
      <c r="AT34" s="20"/>
    </row>
    <row r="35" spans="1:46" x14ac:dyDescent="0.35">
      <c r="A35" s="21"/>
      <c r="B35" s="21"/>
      <c r="C35" s="21"/>
      <c r="D35" s="21"/>
      <c r="E35" s="21"/>
      <c r="F35" s="21"/>
      <c r="G35" s="21"/>
      <c r="H35" s="21"/>
      <c r="I35" s="21"/>
      <c r="J35" s="21"/>
      <c r="K35" s="21"/>
      <c r="L35" s="21"/>
      <c r="M35" s="21"/>
      <c r="N35" s="21"/>
      <c r="O35" s="21"/>
      <c r="P35" s="21"/>
      <c r="Q35" s="21"/>
      <c r="R35" s="21"/>
      <c r="AA35" s="21"/>
      <c r="AB35" s="21"/>
      <c r="AC35" s="20"/>
      <c r="AD35" s="20"/>
      <c r="AE35" s="20"/>
      <c r="AF35" s="20"/>
      <c r="AG35" s="20"/>
      <c r="AH35" s="20"/>
      <c r="AI35" s="20"/>
      <c r="AJ35" s="20"/>
      <c r="AK35" s="20"/>
      <c r="AL35" s="20"/>
      <c r="AM35" s="20"/>
      <c r="AN35" s="20"/>
      <c r="AO35" s="20"/>
      <c r="AP35" s="20"/>
      <c r="AQ35" s="20"/>
      <c r="AR35" s="20"/>
      <c r="AS35" s="20"/>
      <c r="AT35" s="20"/>
    </row>
    <row r="36" spans="1:46" x14ac:dyDescent="0.35">
      <c r="A36" s="21"/>
      <c r="B36" s="21"/>
      <c r="C36" s="21"/>
      <c r="D36" s="21"/>
      <c r="E36" s="21"/>
      <c r="F36" s="21"/>
      <c r="G36" s="21"/>
      <c r="H36" s="21"/>
      <c r="I36" s="21"/>
      <c r="J36" s="21"/>
      <c r="K36" s="21"/>
      <c r="L36" s="21"/>
      <c r="M36" s="21"/>
      <c r="N36" s="21"/>
      <c r="O36" s="21"/>
      <c r="P36" s="21"/>
      <c r="Q36" s="21"/>
      <c r="R36" s="21"/>
      <c r="AA36" s="21"/>
      <c r="AB36" s="21"/>
      <c r="AC36" s="20"/>
      <c r="AD36" s="20"/>
      <c r="AE36" s="20"/>
      <c r="AF36" s="20"/>
      <c r="AG36" s="20"/>
      <c r="AH36" s="20"/>
      <c r="AI36" s="20"/>
      <c r="AJ36" s="20"/>
      <c r="AK36" s="20"/>
      <c r="AL36" s="20"/>
      <c r="AM36" s="20"/>
      <c r="AN36" s="20"/>
      <c r="AO36" s="20"/>
      <c r="AP36" s="20"/>
      <c r="AQ36" s="20"/>
      <c r="AR36" s="20"/>
      <c r="AS36" s="20"/>
      <c r="AT36" s="20"/>
    </row>
    <row r="37" spans="1:46" x14ac:dyDescent="0.35">
      <c r="A37" s="21"/>
      <c r="B37" s="21"/>
      <c r="C37" s="21"/>
      <c r="D37" s="21"/>
      <c r="E37" s="21"/>
      <c r="F37" s="21"/>
      <c r="G37" s="21"/>
      <c r="H37" s="21"/>
      <c r="I37" s="21"/>
      <c r="J37" s="21"/>
      <c r="K37" s="21"/>
      <c r="L37" s="21"/>
      <c r="M37" s="21"/>
      <c r="N37" s="21"/>
      <c r="O37" s="21"/>
      <c r="P37" s="21"/>
      <c r="Q37" s="21"/>
      <c r="R37" s="21"/>
      <c r="AA37" s="21"/>
      <c r="AB37" s="21"/>
      <c r="AC37" s="20"/>
      <c r="AD37" s="20"/>
      <c r="AE37" s="20"/>
      <c r="AF37" s="20"/>
      <c r="AG37" s="20"/>
      <c r="AH37" s="20"/>
      <c r="AI37" s="20"/>
      <c r="AJ37" s="20"/>
      <c r="AK37" s="20"/>
      <c r="AL37" s="20"/>
      <c r="AM37" s="20"/>
      <c r="AN37" s="20"/>
      <c r="AO37" s="20"/>
      <c r="AP37" s="20"/>
      <c r="AQ37" s="20"/>
      <c r="AR37" s="20"/>
      <c r="AS37" s="20"/>
      <c r="AT37" s="20"/>
    </row>
    <row r="38" spans="1:46" x14ac:dyDescent="0.35">
      <c r="A38" s="21"/>
      <c r="B38" s="21"/>
      <c r="C38" s="21"/>
      <c r="D38" s="21"/>
      <c r="E38" s="21"/>
      <c r="F38" s="21"/>
      <c r="G38" s="21"/>
      <c r="H38" s="21"/>
      <c r="I38" s="21"/>
      <c r="J38" s="21"/>
      <c r="K38" s="21"/>
      <c r="L38" s="21"/>
      <c r="M38" s="21"/>
      <c r="N38" s="21"/>
      <c r="O38" s="21"/>
      <c r="P38" s="21"/>
      <c r="Q38" s="21"/>
      <c r="R38" s="21"/>
      <c r="AA38" s="21"/>
      <c r="AB38" s="21"/>
      <c r="AC38" s="20"/>
      <c r="AD38" s="20"/>
      <c r="AE38" s="20"/>
      <c r="AF38" s="20"/>
      <c r="AG38" s="20"/>
      <c r="AH38" s="20"/>
      <c r="AI38" s="20"/>
      <c r="AJ38" s="20"/>
      <c r="AK38" s="20"/>
      <c r="AL38" s="20"/>
      <c r="AM38" s="20"/>
      <c r="AN38" s="20"/>
      <c r="AO38" s="20"/>
      <c r="AP38" s="20"/>
      <c r="AQ38" s="20"/>
      <c r="AR38" s="20"/>
      <c r="AS38" s="20"/>
      <c r="AT38" s="20"/>
    </row>
    <row r="39" spans="1:46" x14ac:dyDescent="0.35">
      <c r="A39" s="21"/>
      <c r="B39" s="21"/>
      <c r="C39" s="21"/>
      <c r="D39" s="21"/>
      <c r="E39" s="21"/>
      <c r="F39" s="21"/>
      <c r="G39" s="21"/>
      <c r="H39" s="21"/>
      <c r="I39" s="21"/>
      <c r="J39" s="21"/>
      <c r="K39" s="21"/>
      <c r="L39" s="21"/>
      <c r="M39" s="21"/>
      <c r="N39" s="21"/>
      <c r="O39" s="21"/>
      <c r="P39" s="21"/>
      <c r="Q39" s="21"/>
      <c r="R39" s="21"/>
      <c r="AA39" s="21"/>
      <c r="AB39" s="21"/>
      <c r="AC39" s="20"/>
      <c r="AD39" s="20"/>
      <c r="AE39" s="20"/>
      <c r="AF39" s="20"/>
      <c r="AG39" s="20"/>
      <c r="AH39" s="20"/>
      <c r="AI39" s="20"/>
      <c r="AJ39" s="20"/>
      <c r="AK39" s="20"/>
      <c r="AL39" s="20"/>
      <c r="AM39" s="20"/>
      <c r="AN39" s="20"/>
      <c r="AO39" s="20"/>
      <c r="AP39" s="20"/>
      <c r="AQ39" s="20"/>
      <c r="AR39" s="20"/>
      <c r="AS39" s="20"/>
      <c r="AT39" s="20"/>
    </row>
    <row r="40" spans="1:46" x14ac:dyDescent="0.3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0"/>
      <c r="AD40" s="20"/>
      <c r="AE40" s="20"/>
      <c r="AF40" s="20"/>
      <c r="AG40" s="20"/>
      <c r="AH40" s="20"/>
      <c r="AI40" s="20"/>
      <c r="AJ40" s="20"/>
      <c r="AK40" s="20"/>
      <c r="AL40" s="20"/>
      <c r="AM40" s="20"/>
      <c r="AN40" s="20"/>
      <c r="AO40" s="20"/>
      <c r="AP40" s="20"/>
      <c r="AQ40" s="20"/>
      <c r="AR40" s="20"/>
      <c r="AS40" s="20"/>
      <c r="AT40" s="20"/>
    </row>
    <row r="41" spans="1:46" x14ac:dyDescent="0.3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0"/>
      <c r="AD41" s="20"/>
      <c r="AE41" s="20"/>
      <c r="AF41" s="20"/>
      <c r="AG41" s="20"/>
      <c r="AH41" s="20"/>
      <c r="AI41" s="20"/>
      <c r="AJ41" s="20"/>
      <c r="AK41" s="20"/>
      <c r="AL41" s="20"/>
      <c r="AM41" s="20"/>
      <c r="AN41" s="20"/>
      <c r="AO41" s="20"/>
      <c r="AP41" s="20"/>
      <c r="AQ41" s="20"/>
      <c r="AR41" s="20"/>
      <c r="AS41" s="20"/>
      <c r="AT41" s="20"/>
    </row>
    <row r="42" spans="1:46" x14ac:dyDescent="0.3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0"/>
      <c r="AD42" s="20"/>
      <c r="AE42" s="20"/>
      <c r="AF42" s="20"/>
      <c r="AG42" s="20"/>
      <c r="AH42" s="20"/>
      <c r="AI42" s="20"/>
      <c r="AJ42" s="20"/>
      <c r="AK42" s="20"/>
      <c r="AL42" s="20"/>
      <c r="AM42" s="20"/>
      <c r="AN42" s="20"/>
      <c r="AO42" s="20"/>
      <c r="AP42" s="20"/>
      <c r="AQ42" s="20"/>
      <c r="AR42" s="20"/>
      <c r="AS42" s="20"/>
      <c r="AT42" s="20"/>
    </row>
    <row r="43" spans="1:46" x14ac:dyDescent="0.3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0"/>
      <c r="AD43" s="20"/>
      <c r="AE43" s="20"/>
      <c r="AF43" s="20"/>
      <c r="AG43" s="20"/>
      <c r="AH43" s="20"/>
      <c r="AI43" s="20"/>
      <c r="AJ43" s="20"/>
      <c r="AK43" s="20"/>
      <c r="AL43" s="20"/>
      <c r="AM43" s="20"/>
      <c r="AN43" s="20"/>
      <c r="AO43" s="20"/>
      <c r="AP43" s="20"/>
      <c r="AQ43" s="20"/>
      <c r="AR43" s="20"/>
      <c r="AS43" s="20"/>
      <c r="AT43" s="20"/>
    </row>
    <row r="44" spans="1:46" x14ac:dyDescent="0.3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0"/>
      <c r="AD44" s="20"/>
      <c r="AE44" s="20"/>
      <c r="AF44" s="20"/>
      <c r="AG44" s="20"/>
      <c r="AH44" s="20"/>
      <c r="AI44" s="20"/>
      <c r="AJ44" s="20"/>
      <c r="AK44" s="20"/>
      <c r="AL44" s="20"/>
      <c r="AM44" s="20"/>
      <c r="AN44" s="20"/>
      <c r="AO44" s="20"/>
      <c r="AP44" s="20"/>
      <c r="AQ44" s="20"/>
      <c r="AR44" s="20"/>
      <c r="AS44" s="20"/>
      <c r="AT44" s="20"/>
    </row>
    <row r="45" spans="1:46" x14ac:dyDescent="0.3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0"/>
      <c r="AD45" s="20"/>
      <c r="AE45" s="20"/>
      <c r="AF45" s="20"/>
      <c r="AG45" s="20"/>
      <c r="AH45" s="20"/>
      <c r="AI45" s="20"/>
      <c r="AJ45" s="20"/>
      <c r="AK45" s="20"/>
      <c r="AL45" s="20"/>
      <c r="AM45" s="20"/>
      <c r="AN45" s="20"/>
      <c r="AO45" s="20"/>
      <c r="AP45" s="20"/>
      <c r="AQ45" s="20"/>
      <c r="AR45" s="20"/>
      <c r="AS45" s="20"/>
      <c r="AT45" s="20"/>
    </row>
    <row r="46" spans="1:46" x14ac:dyDescent="0.3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0"/>
      <c r="AD46" s="20"/>
      <c r="AE46" s="20"/>
      <c r="AF46" s="20"/>
      <c r="AG46" s="20"/>
      <c r="AH46" s="20"/>
      <c r="AI46" s="20"/>
      <c r="AJ46" s="20"/>
      <c r="AK46" s="20"/>
      <c r="AL46" s="20"/>
      <c r="AM46" s="20"/>
      <c r="AN46" s="20"/>
      <c r="AO46" s="20"/>
      <c r="AP46" s="20"/>
      <c r="AQ46" s="20"/>
      <c r="AR46" s="20"/>
      <c r="AS46" s="20"/>
      <c r="AT46" s="20"/>
    </row>
    <row r="47" spans="1:46" x14ac:dyDescent="0.3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0"/>
      <c r="AD47" s="20"/>
      <c r="AE47" s="20"/>
      <c r="AF47" s="20"/>
      <c r="AG47" s="20"/>
      <c r="AH47" s="20"/>
      <c r="AI47" s="20"/>
      <c r="AJ47" s="20"/>
      <c r="AK47" s="20"/>
      <c r="AL47" s="20"/>
      <c r="AM47" s="20"/>
      <c r="AN47" s="20"/>
      <c r="AO47" s="20"/>
      <c r="AP47" s="20"/>
      <c r="AQ47" s="20"/>
      <c r="AR47" s="20"/>
      <c r="AS47" s="20"/>
      <c r="AT47" s="20"/>
    </row>
    <row r="48" spans="1:46" x14ac:dyDescent="0.3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0"/>
      <c r="AD48" s="20"/>
      <c r="AE48" s="20"/>
      <c r="AF48" s="20"/>
      <c r="AG48" s="20"/>
      <c r="AH48" s="20"/>
      <c r="AI48" s="20"/>
      <c r="AJ48" s="20"/>
      <c r="AK48" s="20"/>
      <c r="AL48" s="20"/>
      <c r="AM48" s="20"/>
      <c r="AN48" s="20"/>
      <c r="AO48" s="20"/>
      <c r="AP48" s="20"/>
      <c r="AQ48" s="20"/>
      <c r="AR48" s="20"/>
      <c r="AS48" s="20"/>
      <c r="AT48" s="20"/>
    </row>
    <row r="49" spans="1:46" x14ac:dyDescent="0.3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0"/>
      <c r="AD49" s="20"/>
      <c r="AE49" s="20"/>
      <c r="AF49" s="20"/>
      <c r="AG49" s="20"/>
      <c r="AH49" s="20"/>
      <c r="AI49" s="20"/>
      <c r="AJ49" s="20"/>
      <c r="AK49" s="20"/>
      <c r="AL49" s="20"/>
      <c r="AM49" s="20"/>
      <c r="AN49" s="20"/>
      <c r="AO49" s="20"/>
      <c r="AP49" s="20"/>
      <c r="AQ49" s="20"/>
      <c r="AR49" s="20"/>
      <c r="AS49" s="20"/>
      <c r="AT49" s="20"/>
    </row>
    <row r="50" spans="1:46" x14ac:dyDescent="0.3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0"/>
      <c r="AD50" s="20"/>
      <c r="AE50" s="20"/>
      <c r="AF50" s="20"/>
      <c r="AG50" s="20"/>
      <c r="AH50" s="20"/>
      <c r="AI50" s="20"/>
      <c r="AJ50" s="20"/>
      <c r="AK50" s="20"/>
      <c r="AL50" s="20"/>
      <c r="AM50" s="20"/>
      <c r="AN50" s="20"/>
      <c r="AO50" s="20"/>
      <c r="AP50" s="20"/>
      <c r="AQ50" s="20"/>
      <c r="AR50" s="20"/>
      <c r="AS50" s="20"/>
      <c r="AT50" s="20"/>
    </row>
    <row r="51" spans="1:46" x14ac:dyDescent="0.3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0"/>
      <c r="AD51" s="20"/>
      <c r="AE51" s="20"/>
      <c r="AF51" s="20"/>
      <c r="AG51" s="20"/>
      <c r="AH51" s="20"/>
      <c r="AI51" s="20"/>
      <c r="AJ51" s="20"/>
      <c r="AK51" s="20"/>
      <c r="AL51" s="20"/>
      <c r="AM51" s="20"/>
      <c r="AN51" s="20"/>
      <c r="AO51" s="20"/>
      <c r="AP51" s="20"/>
      <c r="AQ51" s="20"/>
      <c r="AR51" s="20"/>
      <c r="AS51" s="20"/>
      <c r="AT51" s="20"/>
    </row>
    <row r="52" spans="1:46" x14ac:dyDescent="0.3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0"/>
      <c r="AD52" s="20"/>
      <c r="AE52" s="20"/>
      <c r="AF52" s="20"/>
      <c r="AG52" s="20"/>
      <c r="AH52" s="20"/>
      <c r="AI52" s="20"/>
      <c r="AJ52" s="20"/>
      <c r="AK52" s="20"/>
      <c r="AL52" s="20"/>
      <c r="AM52" s="20"/>
      <c r="AN52" s="20"/>
      <c r="AO52" s="20"/>
      <c r="AP52" s="20"/>
      <c r="AQ52" s="20"/>
      <c r="AR52" s="20"/>
      <c r="AS52" s="20"/>
      <c r="AT52" s="20"/>
    </row>
    <row r="53" spans="1:46" x14ac:dyDescent="0.3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0"/>
      <c r="AD53" s="20"/>
      <c r="AE53" s="20"/>
      <c r="AF53" s="20"/>
      <c r="AG53" s="20"/>
      <c r="AH53" s="20"/>
      <c r="AI53" s="20"/>
      <c r="AJ53" s="20"/>
      <c r="AK53" s="20"/>
      <c r="AL53" s="20"/>
      <c r="AM53" s="20"/>
      <c r="AN53" s="20"/>
      <c r="AO53" s="20"/>
      <c r="AP53" s="20"/>
      <c r="AQ53" s="20"/>
      <c r="AR53" s="20"/>
      <c r="AS53" s="20"/>
      <c r="AT53" s="20"/>
    </row>
    <row r="54" spans="1:46" x14ac:dyDescent="0.3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0"/>
      <c r="AD54" s="20"/>
      <c r="AE54" s="20"/>
      <c r="AF54" s="20"/>
      <c r="AG54" s="20"/>
      <c r="AH54" s="20"/>
      <c r="AI54" s="20"/>
      <c r="AJ54" s="20"/>
      <c r="AK54" s="20"/>
      <c r="AL54" s="20"/>
      <c r="AM54" s="20"/>
      <c r="AN54" s="20"/>
      <c r="AO54" s="20"/>
      <c r="AP54" s="20"/>
      <c r="AQ54" s="20"/>
      <c r="AR54" s="20"/>
      <c r="AS54" s="20"/>
      <c r="AT54" s="20"/>
    </row>
    <row r="55" spans="1:46" x14ac:dyDescent="0.3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0"/>
      <c r="AD55" s="20"/>
      <c r="AE55" s="20"/>
      <c r="AF55" s="20"/>
      <c r="AG55" s="20"/>
      <c r="AH55" s="20"/>
      <c r="AI55" s="20"/>
      <c r="AJ55" s="20"/>
      <c r="AK55" s="20"/>
      <c r="AL55" s="20"/>
      <c r="AM55" s="20"/>
      <c r="AN55" s="20"/>
      <c r="AO55" s="20"/>
      <c r="AP55" s="20"/>
      <c r="AQ55" s="20"/>
      <c r="AR55" s="20"/>
      <c r="AS55" s="20"/>
      <c r="AT55" s="20"/>
    </row>
    <row r="56" spans="1:46" x14ac:dyDescent="0.3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0"/>
      <c r="AD56" s="20"/>
      <c r="AE56" s="20"/>
      <c r="AF56" s="20"/>
      <c r="AG56" s="20"/>
      <c r="AH56" s="20"/>
      <c r="AI56" s="20"/>
      <c r="AJ56" s="20"/>
      <c r="AK56" s="20"/>
      <c r="AL56" s="20"/>
      <c r="AM56" s="20"/>
      <c r="AN56" s="20"/>
      <c r="AO56" s="20"/>
      <c r="AP56" s="20"/>
      <c r="AQ56" s="20"/>
      <c r="AR56" s="20"/>
      <c r="AS56" s="20"/>
      <c r="AT56" s="20"/>
    </row>
    <row r="57" spans="1:46" x14ac:dyDescent="0.3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0"/>
      <c r="AD57" s="20"/>
      <c r="AE57" s="20"/>
      <c r="AF57" s="20"/>
      <c r="AG57" s="20"/>
      <c r="AH57" s="20"/>
      <c r="AI57" s="20"/>
      <c r="AJ57" s="20"/>
      <c r="AK57" s="20"/>
      <c r="AL57" s="20"/>
      <c r="AM57" s="20"/>
      <c r="AN57" s="20"/>
      <c r="AO57" s="20"/>
      <c r="AP57" s="20"/>
      <c r="AQ57" s="20"/>
      <c r="AR57" s="20"/>
      <c r="AS57" s="20"/>
      <c r="AT57" s="20"/>
    </row>
    <row r="58" spans="1:46" x14ac:dyDescent="0.3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0"/>
      <c r="AD58" s="20"/>
      <c r="AE58" s="20"/>
      <c r="AF58" s="20"/>
      <c r="AG58" s="20"/>
      <c r="AH58" s="20"/>
      <c r="AI58" s="20"/>
      <c r="AJ58" s="20"/>
      <c r="AK58" s="20"/>
      <c r="AL58" s="20"/>
      <c r="AM58" s="20"/>
      <c r="AN58" s="20"/>
      <c r="AO58" s="20"/>
      <c r="AP58" s="20"/>
      <c r="AQ58" s="20"/>
      <c r="AR58" s="20"/>
      <c r="AS58" s="20"/>
      <c r="AT58" s="20"/>
    </row>
    <row r="59" spans="1:46" x14ac:dyDescent="0.3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0"/>
      <c r="AD59" s="20"/>
      <c r="AE59" s="20"/>
      <c r="AF59" s="20"/>
      <c r="AG59" s="20"/>
      <c r="AH59" s="20"/>
      <c r="AI59" s="20"/>
      <c r="AJ59" s="20"/>
      <c r="AK59" s="20"/>
      <c r="AL59" s="20"/>
      <c r="AM59" s="20"/>
      <c r="AN59" s="20"/>
      <c r="AO59" s="20"/>
      <c r="AP59" s="20"/>
      <c r="AQ59" s="20"/>
      <c r="AR59" s="20"/>
      <c r="AS59" s="20"/>
      <c r="AT59" s="20"/>
    </row>
    <row r="60" spans="1:46" x14ac:dyDescent="0.3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0"/>
      <c r="AD60" s="20"/>
      <c r="AE60" s="20"/>
      <c r="AF60" s="20"/>
      <c r="AG60" s="20"/>
      <c r="AH60" s="20"/>
      <c r="AI60" s="20"/>
      <c r="AJ60" s="20"/>
      <c r="AK60" s="20"/>
      <c r="AL60" s="20"/>
      <c r="AM60" s="20"/>
      <c r="AN60" s="20"/>
      <c r="AO60" s="20"/>
      <c r="AP60" s="20"/>
      <c r="AQ60" s="20"/>
      <c r="AR60" s="20"/>
      <c r="AS60" s="20"/>
      <c r="AT60" s="20"/>
    </row>
    <row r="61" spans="1:46" x14ac:dyDescent="0.3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row>
    <row r="62" spans="1:46" x14ac:dyDescent="0.3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row>
  </sheetData>
  <mergeCells count="1">
    <mergeCell ref="B2: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6" zoomScale="115" zoomScaleNormal="115" workbookViewId="0">
      <selection activeCell="E3" sqref="E3"/>
    </sheetView>
  </sheetViews>
  <sheetFormatPr defaultRowHeight="14.5" x14ac:dyDescent="0.35"/>
  <cols>
    <col min="5" max="5" width="10.83203125" customWidth="1"/>
    <col min="6" max="6" width="11.58203125" bestFit="1" customWidth="1"/>
  </cols>
  <sheetData>
    <row r="2" spans="5:6" x14ac:dyDescent="0.35">
      <c r="E2" t="s">
        <v>1040</v>
      </c>
      <c r="F2" t="s">
        <v>1041</v>
      </c>
    </row>
    <row r="3" spans="5:6" ht="25.5" customHeight="1" x14ac:dyDescent="0.35">
      <c r="E3" t="s">
        <v>11</v>
      </c>
      <c r="F3" t="e" vm="1">
        <v>#VALUE!</v>
      </c>
    </row>
    <row r="4" spans="5:6" ht="25.5" customHeight="1" x14ac:dyDescent="0.35">
      <c r="E4" t="s">
        <v>9</v>
      </c>
      <c r="F4" t="e" vm="2">
        <v>#VALUE!</v>
      </c>
    </row>
    <row r="5" spans="5:6" ht="25.5" customHeight="1" x14ac:dyDescent="0.35">
      <c r="E5" t="s">
        <v>6</v>
      </c>
      <c r="F5" t="e" vm="3">
        <v>#VALUE!</v>
      </c>
    </row>
    <row r="6" spans="5:6" ht="25.5" customHeight="1" x14ac:dyDescent="0.35">
      <c r="E6" t="s">
        <v>13</v>
      </c>
      <c r="F6" t="e" vm="4">
        <v>#VALUE!</v>
      </c>
    </row>
    <row r="7" spans="5:6" ht="25.5" customHeight="1" x14ac:dyDescent="0.35">
      <c r="E7" t="s">
        <v>10</v>
      </c>
      <c r="F7" t="e" vm="5">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D90441BD-2047-44B9-AE2A-C566AA94B4E6}">
  <ds:schemaRefs/>
</ds:datastoreItem>
</file>

<file path=customXml/itemProps2.xml><?xml version="1.0" encoding="utf-8"?>
<ds:datastoreItem xmlns:ds="http://schemas.openxmlformats.org/officeDocument/2006/customXml" ds:itemID="{F9ABE5E0-F3F9-44DC-960A-59B2DDF389AC}">
  <ds:schemaRefs/>
</ds:datastoreItem>
</file>

<file path=customXml/itemProps3.xml><?xml version="1.0" encoding="utf-8"?>
<ds:datastoreItem xmlns:ds="http://schemas.openxmlformats.org/officeDocument/2006/customXml" ds:itemID="{53031B61-C615-45D2-880F-18C65C70F0BB}">
  <ds:schemaRefs/>
</ds:datastoreItem>
</file>

<file path=customXml/itemProps4.xml><?xml version="1.0" encoding="utf-8"?>
<ds:datastoreItem xmlns:ds="http://schemas.openxmlformats.org/officeDocument/2006/customXml" ds:itemID="{871B5705-9861-4114-89E2-9904DC11976F}">
  <ds:schemaRefs/>
</ds:datastoreItem>
</file>

<file path=customXml/itemProps5.xml><?xml version="1.0" encoding="utf-8"?>
<ds:datastoreItem xmlns:ds="http://schemas.openxmlformats.org/officeDocument/2006/customXml" ds:itemID="{40BC8C4D-A82F-402E-B1AD-8206EB47DAFD}">
  <ds:schemaRefs/>
</ds:datastoreItem>
</file>

<file path=customXml/itemProps6.xml><?xml version="1.0" encoding="utf-8"?>
<ds:datastoreItem xmlns:ds="http://schemas.openxmlformats.org/officeDocument/2006/customXml" ds:itemID="{6E49AEA1-C48F-4F44-8246-23CF018FE0AE}">
  <ds:schemaRefs/>
</ds:datastoreItem>
</file>

<file path=customXml/itemProps7.xml><?xml version="1.0" encoding="utf-8"?>
<ds:datastoreItem xmlns:ds="http://schemas.openxmlformats.org/officeDocument/2006/customXml" ds:itemID="{D34630AA-8A24-4958-9B22-416B565EF244}">
  <ds:schemaRefs/>
</ds:datastoreItem>
</file>

<file path=customXml/itemProps8.xml><?xml version="1.0" encoding="utf-8"?>
<ds:datastoreItem xmlns:ds="http://schemas.openxmlformats.org/officeDocument/2006/customXml" ds:itemID="{B3ABE3D4-9980-4FAB-B7F1-3B53FA068F02}">
  <ds:schemaRefs/>
</ds:datastoreItem>
</file>

<file path=customXml/itemProps9.xml><?xml version="1.0" encoding="utf-8"?>
<ds:datastoreItem xmlns:ds="http://schemas.openxmlformats.org/officeDocument/2006/customXml" ds:itemID="{738E88B7-B7D6-4DDB-9C8A-028DB85AA8EB}">
  <ds:schemaRefs/>
</ds:datastoreItem>
</file>

<file path=customXml/itemProps10.xml><?xml version="1.0" encoding="utf-8"?>
<ds:datastoreItem xmlns:ds="http://schemas.openxmlformats.org/officeDocument/2006/customXml" ds:itemID="{E631679B-2F5A-4CA0-B642-5DA6E8423FF9}">
  <ds:schemaRefs/>
</ds:datastoreItem>
</file>

<file path=customXml/itemProps11.xml><?xml version="1.0" encoding="utf-8"?>
<ds:datastoreItem xmlns:ds="http://schemas.openxmlformats.org/officeDocument/2006/customXml" ds:itemID="{23D42605-C1FB-4510-A8F9-65A9A141E0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kumar.sachinmd@gmail.com</cp:lastModifiedBy>
  <dcterms:created xsi:type="dcterms:W3CDTF">2021-03-14T20:21:32Z</dcterms:created>
  <dcterms:modified xsi:type="dcterms:W3CDTF">2026-04-07T15:33:21Z</dcterms:modified>
</cp:coreProperties>
</file>